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ETROSHA\JakeN\DC650\Templates\"/>
    </mc:Choice>
  </mc:AlternateContent>
  <xr:revisionPtr revIDLastSave="0" documentId="13_ncr:1_{1BE4E33F-5D7E-4763-841B-D60155F93AD9}" xr6:coauthVersionLast="43" xr6:coauthVersionMax="43" xr10:uidLastSave="{00000000-0000-0000-0000-000000000000}"/>
  <bookViews>
    <workbookView xWindow="1480" yWindow="1170" windowWidth="16810" windowHeight="9630" xr2:uid="{00000000-000D-0000-FFFF-FFFF00000000}"/>
  </bookViews>
  <sheets>
    <sheet name="Main" sheetId="10944" r:id="rId1"/>
    <sheet name="Test" sheetId="80" state="hidden" r:id="rId2"/>
    <sheet name="PAL" sheetId="10948" state="hidden" r:id="rId3"/>
    <sheet name="Temp_5nm" sheetId="1" state="hidden" r:id="rId4"/>
    <sheet name="Temp_XYZ_5nm" sheetId="10945" state="hidden" r:id="rId5"/>
    <sheet name="Temp_10nm" sheetId="10946" state="hidden" r:id="rId6"/>
    <sheet name="Temp_XYZ_10nm" sheetId="10947" state="hidden" r:id="rId7"/>
  </sheets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0948" l="1"/>
  <c r="E2" i="10948"/>
  <c r="D2" i="10948"/>
  <c r="C2" i="10948"/>
  <c r="B2" i="10948"/>
  <c r="A2" i="10948"/>
  <c r="BE35" i="10947" l="1"/>
  <c r="BD35" i="10947"/>
  <c r="BC35" i="10947"/>
  <c r="BB35" i="10947"/>
  <c r="BA35" i="10947"/>
  <c r="AZ35" i="10947"/>
  <c r="AY35" i="10947"/>
  <c r="AX35" i="10947"/>
  <c r="AW35" i="10947"/>
  <c r="AV35" i="10947"/>
  <c r="AU35" i="10947"/>
  <c r="AT35" i="10947"/>
  <c r="AS35" i="10947"/>
  <c r="AR35" i="10947"/>
  <c r="AQ35" i="10947"/>
  <c r="AP35" i="10947"/>
  <c r="AO35" i="10947"/>
  <c r="AN35" i="10947"/>
  <c r="AM35" i="10947"/>
  <c r="AL35" i="10947"/>
  <c r="AK35" i="10947"/>
  <c r="AJ35" i="10947"/>
  <c r="AI35" i="10947"/>
  <c r="AH35" i="10947"/>
  <c r="AG35" i="10947"/>
  <c r="AF35" i="10947"/>
  <c r="AE35" i="10947"/>
  <c r="AD35" i="10947"/>
  <c r="AC35" i="10947"/>
  <c r="AB35" i="10947"/>
  <c r="AA35" i="10947"/>
  <c r="Z35" i="10947"/>
  <c r="Y35" i="10947"/>
  <c r="X35" i="10947"/>
  <c r="W35" i="10947"/>
  <c r="V35" i="10947"/>
  <c r="U35" i="10947"/>
  <c r="T35" i="10947"/>
  <c r="S35" i="10947"/>
  <c r="R35" i="10947"/>
  <c r="Q35" i="10947"/>
  <c r="P35" i="10947"/>
  <c r="O35" i="10947"/>
  <c r="N35" i="10947"/>
  <c r="M35" i="10947"/>
  <c r="L35" i="10947"/>
  <c r="K35" i="10947"/>
  <c r="J35" i="10947"/>
  <c r="I35" i="10947"/>
  <c r="H35" i="10947"/>
  <c r="G35" i="10947"/>
  <c r="F35" i="10947"/>
  <c r="E35" i="10947"/>
  <c r="D35" i="10947"/>
  <c r="C35" i="10947"/>
  <c r="B35" i="10947"/>
  <c r="BE34" i="10947"/>
  <c r="BD34" i="10947"/>
  <c r="BC34" i="10947"/>
  <c r="BB34" i="10947"/>
  <c r="BA34" i="10947"/>
  <c r="AZ34" i="10947"/>
  <c r="AY34" i="10947"/>
  <c r="AX34" i="10947"/>
  <c r="AW34" i="10947"/>
  <c r="AV34" i="10947"/>
  <c r="AU34" i="10947"/>
  <c r="AT34" i="10947"/>
  <c r="AS34" i="10947"/>
  <c r="AR34" i="10947"/>
  <c r="AQ34" i="10947"/>
  <c r="AP34" i="10947"/>
  <c r="AO34" i="10947"/>
  <c r="AN34" i="10947"/>
  <c r="AM34" i="10947"/>
  <c r="AL34" i="10947"/>
  <c r="AK34" i="10947"/>
  <c r="AJ34" i="10947"/>
  <c r="AI34" i="10947"/>
  <c r="AH34" i="10947"/>
  <c r="AG34" i="10947"/>
  <c r="AF34" i="10947"/>
  <c r="AE34" i="10947"/>
  <c r="AD34" i="10947"/>
  <c r="AC34" i="10947"/>
  <c r="AB34" i="10947"/>
  <c r="AA34" i="10947"/>
  <c r="Z34" i="10947"/>
  <c r="Y34" i="10947"/>
  <c r="X34" i="10947"/>
  <c r="W34" i="10947"/>
  <c r="V34" i="10947"/>
  <c r="U34" i="10947"/>
  <c r="T34" i="10947"/>
  <c r="S34" i="10947"/>
  <c r="R34" i="10947"/>
  <c r="Q34" i="10947"/>
  <c r="P34" i="10947"/>
  <c r="O34" i="10947"/>
  <c r="N34" i="10947"/>
  <c r="M34" i="10947"/>
  <c r="L34" i="10947"/>
  <c r="K34" i="10947"/>
  <c r="J34" i="10947"/>
  <c r="I34" i="10947"/>
  <c r="H34" i="10947"/>
  <c r="G34" i="10947"/>
  <c r="F34" i="10947"/>
  <c r="E34" i="10947"/>
  <c r="D34" i="10947"/>
  <c r="C34" i="10947"/>
  <c r="B34" i="10947"/>
  <c r="BE35" i="10946"/>
  <c r="BD35" i="10946"/>
  <c r="BC35" i="10946"/>
  <c r="BB35" i="10946"/>
  <c r="BA35" i="10946"/>
  <c r="AZ35" i="10946"/>
  <c r="AY35" i="10946"/>
  <c r="AX35" i="10946"/>
  <c r="AW35" i="10946"/>
  <c r="AV35" i="10946"/>
  <c r="AU35" i="10946"/>
  <c r="AT35" i="10946"/>
  <c r="AS35" i="10946"/>
  <c r="AR35" i="10946"/>
  <c r="AQ35" i="10946"/>
  <c r="AP35" i="10946"/>
  <c r="AO35" i="10946"/>
  <c r="AN35" i="10946"/>
  <c r="AM35" i="10946"/>
  <c r="AL35" i="10946"/>
  <c r="AK35" i="10946"/>
  <c r="AJ35" i="10946"/>
  <c r="AI35" i="10946"/>
  <c r="AH35" i="10946"/>
  <c r="AG35" i="10946"/>
  <c r="AF35" i="10946"/>
  <c r="AE35" i="10946"/>
  <c r="AD35" i="10946"/>
  <c r="AC35" i="10946"/>
  <c r="AB35" i="10946"/>
  <c r="AA35" i="10946"/>
  <c r="Z35" i="10946"/>
  <c r="Y35" i="10946"/>
  <c r="X35" i="10946"/>
  <c r="W35" i="10946"/>
  <c r="V35" i="10946"/>
  <c r="U35" i="10946"/>
  <c r="T35" i="10946"/>
  <c r="S35" i="10946"/>
  <c r="R35" i="10946"/>
  <c r="Q35" i="10946"/>
  <c r="P35" i="10946"/>
  <c r="O35" i="10946"/>
  <c r="N35" i="10946"/>
  <c r="M35" i="10946"/>
  <c r="L35" i="10946"/>
  <c r="K35" i="10946"/>
  <c r="J35" i="10946"/>
  <c r="I35" i="10946"/>
  <c r="H35" i="10946"/>
  <c r="G35" i="10946"/>
  <c r="F35" i="10946"/>
  <c r="E35" i="10946"/>
  <c r="D35" i="10946"/>
  <c r="C35" i="10946"/>
  <c r="B35" i="10946"/>
  <c r="BE34" i="10946"/>
  <c r="BD34" i="10946"/>
  <c r="BC34" i="10946"/>
  <c r="BB34" i="10946"/>
  <c r="BA34" i="10946"/>
  <c r="AZ34" i="10946"/>
  <c r="AY34" i="10946"/>
  <c r="AX34" i="10946"/>
  <c r="AW34" i="10946"/>
  <c r="AV34" i="10946"/>
  <c r="AU34" i="10946"/>
  <c r="AT34" i="10946"/>
  <c r="AS34" i="10946"/>
  <c r="AR34" i="10946"/>
  <c r="AQ34" i="10946"/>
  <c r="AP34" i="10946"/>
  <c r="AO34" i="10946"/>
  <c r="AN34" i="10946"/>
  <c r="AM34" i="10946"/>
  <c r="AL34" i="10946"/>
  <c r="AK34" i="10946"/>
  <c r="AJ34" i="10946"/>
  <c r="AI34" i="10946"/>
  <c r="AH34" i="10946"/>
  <c r="AG34" i="10946"/>
  <c r="AF34" i="10946"/>
  <c r="AE34" i="10946"/>
  <c r="AD34" i="10946"/>
  <c r="AC34" i="10946"/>
  <c r="AB34" i="10946"/>
  <c r="AA34" i="10946"/>
  <c r="Z34" i="10946"/>
  <c r="Y34" i="10946"/>
  <c r="X34" i="10946"/>
  <c r="W34" i="10946"/>
  <c r="V34" i="10946"/>
  <c r="U34" i="10946"/>
  <c r="T34" i="10946"/>
  <c r="S34" i="10946"/>
  <c r="R34" i="10946"/>
  <c r="Q34" i="10946"/>
  <c r="P34" i="10946"/>
  <c r="O34" i="10946"/>
  <c r="N34" i="10946"/>
  <c r="M34" i="10946"/>
  <c r="L34" i="10946"/>
  <c r="K34" i="10946"/>
  <c r="J34" i="10946"/>
  <c r="I34" i="10946"/>
  <c r="H34" i="10946"/>
  <c r="G34" i="10946"/>
  <c r="F34" i="10946"/>
  <c r="E34" i="10946"/>
  <c r="D34" i="10946"/>
  <c r="C34" i="10946"/>
  <c r="B34" i="10946"/>
  <c r="BE35" i="10945" l="1"/>
  <c r="BD35" i="10945"/>
  <c r="BC35" i="10945"/>
  <c r="BB35" i="10945"/>
  <c r="BA35" i="10945"/>
  <c r="AZ35" i="10945"/>
  <c r="AY35" i="10945"/>
  <c r="AX35" i="10945"/>
  <c r="AW35" i="10945"/>
  <c r="AV35" i="10945"/>
  <c r="AU35" i="10945"/>
  <c r="AT35" i="10945"/>
  <c r="AS35" i="10945"/>
  <c r="AR35" i="10945"/>
  <c r="AQ35" i="10945"/>
  <c r="AP35" i="10945"/>
  <c r="AO35" i="10945"/>
  <c r="AN35" i="10945"/>
  <c r="AM35" i="10945"/>
  <c r="AL35" i="10945"/>
  <c r="AK35" i="10945"/>
  <c r="AJ35" i="10945"/>
  <c r="AI35" i="10945"/>
  <c r="AH35" i="10945"/>
  <c r="AG35" i="10945"/>
  <c r="AF35" i="10945"/>
  <c r="AE35" i="10945"/>
  <c r="AD35" i="10945"/>
  <c r="AC35" i="10945"/>
  <c r="AB35" i="10945"/>
  <c r="AA35" i="10945"/>
  <c r="Z35" i="10945"/>
  <c r="Y35" i="10945"/>
  <c r="X35" i="10945"/>
  <c r="W35" i="10945"/>
  <c r="V35" i="10945"/>
  <c r="U35" i="10945"/>
  <c r="T35" i="10945"/>
  <c r="S35" i="10945"/>
  <c r="R35" i="10945"/>
  <c r="Q35" i="10945"/>
  <c r="P35" i="10945"/>
  <c r="O35" i="10945"/>
  <c r="N35" i="10945"/>
  <c r="M35" i="10945"/>
  <c r="L35" i="10945"/>
  <c r="K35" i="10945"/>
  <c r="J35" i="10945"/>
  <c r="I35" i="10945"/>
  <c r="H35" i="10945"/>
  <c r="G35" i="10945"/>
  <c r="F35" i="10945"/>
  <c r="E35" i="10945"/>
  <c r="D35" i="10945"/>
  <c r="C35" i="10945"/>
  <c r="B35" i="10945"/>
  <c r="BE34" i="10945"/>
  <c r="BD34" i="10945"/>
  <c r="BC34" i="10945"/>
  <c r="BB34" i="10945"/>
  <c r="BA34" i="10945"/>
  <c r="AZ34" i="10945"/>
  <c r="AY34" i="10945"/>
  <c r="AX34" i="10945"/>
  <c r="AW34" i="10945"/>
  <c r="AV34" i="10945"/>
  <c r="AU34" i="10945"/>
  <c r="AT34" i="10945"/>
  <c r="AS34" i="10945"/>
  <c r="AR34" i="10945"/>
  <c r="AQ34" i="10945"/>
  <c r="AP34" i="10945"/>
  <c r="AO34" i="10945"/>
  <c r="AN34" i="10945"/>
  <c r="AM34" i="10945"/>
  <c r="AL34" i="10945"/>
  <c r="AK34" i="10945"/>
  <c r="AJ34" i="10945"/>
  <c r="AI34" i="10945"/>
  <c r="AH34" i="10945"/>
  <c r="AG34" i="10945"/>
  <c r="AF34" i="10945"/>
  <c r="AE34" i="10945"/>
  <c r="AD34" i="10945"/>
  <c r="AC34" i="10945"/>
  <c r="AB34" i="10945"/>
  <c r="AA34" i="10945"/>
  <c r="Z34" i="10945"/>
  <c r="Y34" i="10945"/>
  <c r="X34" i="10945"/>
  <c r="W34" i="10945"/>
  <c r="V34" i="10945"/>
  <c r="U34" i="10945"/>
  <c r="T34" i="10945"/>
  <c r="S34" i="10945"/>
  <c r="R34" i="10945"/>
  <c r="Q34" i="10945"/>
  <c r="P34" i="10945"/>
  <c r="O34" i="10945"/>
  <c r="N34" i="10945"/>
  <c r="M34" i="10945"/>
  <c r="L34" i="10945"/>
  <c r="K34" i="10945"/>
  <c r="J34" i="10945"/>
  <c r="I34" i="10945"/>
  <c r="H34" i="10945"/>
  <c r="G34" i="10945"/>
  <c r="F34" i="10945"/>
  <c r="E34" i="10945"/>
  <c r="D34" i="10945"/>
  <c r="C34" i="10945"/>
  <c r="B34" i="10945"/>
  <c r="BE35" i="1" l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B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</calcChain>
</file>

<file path=xl/sharedStrings.xml><?xml version="1.0" encoding="utf-8"?>
<sst xmlns="http://schemas.openxmlformats.org/spreadsheetml/2006/main" count="65" uniqueCount="28">
  <si>
    <t>CIE L*a*b* Color</t>
  </si>
  <si>
    <t>sample</t>
  </si>
  <si>
    <t>L*</t>
  </si>
  <si>
    <t>a*</t>
  </si>
  <si>
    <t>b*</t>
  </si>
  <si>
    <t>C*</t>
  </si>
  <si>
    <t>h</t>
  </si>
  <si>
    <t>wavelength(nm) / Sample Id</t>
  </si>
  <si>
    <t>Peak</t>
  </si>
  <si>
    <t>Avg</t>
  </si>
  <si>
    <t>DC650 %R / %T</t>
  </si>
  <si>
    <t>X</t>
  </si>
  <si>
    <t>Y</t>
  </si>
  <si>
    <t>Z</t>
  </si>
  <si>
    <t>This Template will generate a new workbook with your DC650 Results.</t>
  </si>
  <si>
    <t>Template will generate results for the following DC650 Forms:</t>
  </si>
  <si>
    <t>Excel5nm.txt</t>
  </si>
  <si>
    <t>Excel10nm.txt</t>
  </si>
  <si>
    <t>Excel5nmXYZ.txt</t>
  </si>
  <si>
    <t>Excel10nmXYZ.txt</t>
  </si>
  <si>
    <t>1)</t>
  </si>
  <si>
    <t>2)</t>
  </si>
  <si>
    <t>3)</t>
  </si>
  <si>
    <t>4)</t>
  </si>
  <si>
    <t>Select the ".txt" file that you want to generate a workbook for.</t>
  </si>
  <si>
    <t>The Results Workbook will be saved in the same location as your DC650 data.</t>
  </si>
  <si>
    <t>"Sheet2" will have LabCh data in the format that the PAL accepts.</t>
  </si>
  <si>
    <t>Limit: 56 measurements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</si>
</sst>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7"/>
      <color indexed="23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2" borderId="0" applyNumberFormat="0" applyBorder="0" applyAlignment="0" applyProtection="0"/>
    <xf numFmtId="0" fontId="8" fillId="3" borderId="0" applyNumberFormat="0" applyBorder="0" applyAlignment="0" applyProtection="0"/>
  </cellStyleXfs>
  <cellXfs count="38">
    <xf numFmtId="0" fontId="0" fillId="0" borderId="0" xfId="0"/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1" xfId="0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7" xfId="0" applyBorder="1"/>
    <xf numFmtId="0" fontId="1" fillId="0" borderId="6" xfId="0" applyFont="1" applyBorder="1" applyAlignment="1">
      <alignment horizontal="right"/>
    </xf>
    <xf numFmtId="0" fontId="1" fillId="0" borderId="2" xfId="0" applyFont="1" applyBorder="1" applyAlignment="1">
      <alignment horizontal="center" wrapText="1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1" fillId="0" borderId="1" xfId="0" applyFont="1" applyBorder="1" applyAlignment="1">
      <alignment wrapText="1"/>
    </xf>
    <xf numFmtId="0" fontId="5" fillId="0" borderId="0" xfId="0" applyFont="1"/>
    <xf numFmtId="0" fontId="2" fillId="0" borderId="3" xfId="0" applyFont="1" applyBorder="1" applyAlignment="1">
      <alignment horizontal="center"/>
    </xf>
    <xf numFmtId="0" fontId="6" fillId="2" borderId="0" xfId="1"/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8" xfId="0" applyBorder="1"/>
    <xf numFmtId="0" fontId="0" fillId="0" borderId="4" xfId="0" applyBorder="1"/>
    <xf numFmtId="0" fontId="0" fillId="0" borderId="5" xfId="0" applyBorder="1"/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0" fillId="0" borderId="2" xfId="0" applyBorder="1"/>
    <xf numFmtId="0" fontId="0" fillId="0" borderId="11" xfId="0" applyBorder="1"/>
    <xf numFmtId="0" fontId="7" fillId="0" borderId="0" xfId="0" applyFont="1"/>
    <xf numFmtId="0" fontId="8" fillId="3" borderId="0" xfId="2" applyAlignment="1">
      <alignment horizontal="left"/>
    </xf>
    <xf numFmtId="0" fontId="8" fillId="3" borderId="0" xfId="2"/>
    <xf numFmtId="0" fontId="7" fillId="0" borderId="1" xfId="0" applyFont="1" applyBorder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1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="1"/>
              <a:t>Run#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1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35175424525869"/>
          <c:y val="0.13051174158785706"/>
          <c:w val="0.67486794975519526"/>
          <c:h val="0.6234584565818162"/>
        </c:manualLayout>
      </c:layout>
      <c:lineChart>
        <c:grouping val="standard"/>
        <c:varyColors val="0"/>
        <c:ser>
          <c:idx val="0"/>
          <c:order val="0"/>
          <c:tx>
            <c:strRef>
              <c:f>Temp_5nm!$B$46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cat>
            <c:numRef>
              <c:f>Temp_5nm!$A$47:$A$111</c:f>
              <c:numCache>
                <c:formatCode>General</c:formatCode>
                <c:ptCount val="65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</c:numCache>
            </c:numRef>
          </c:cat>
          <c:val>
            <c:numRef>
              <c:f>Temp_5nm!$B$47:$B$111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F-466C-8479-2E827AC0BFA7}"/>
            </c:ext>
          </c:extLst>
        </c:ser>
        <c:ser>
          <c:idx val="1"/>
          <c:order val="1"/>
          <c:tx>
            <c:strRef>
              <c:f>Temp_5nm!$C$46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2"/>
              </a:soli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cat>
            <c:numRef>
              <c:f>Temp_5nm!$A$47:$A$111</c:f>
              <c:numCache>
                <c:formatCode>General</c:formatCode>
                <c:ptCount val="65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</c:numCache>
            </c:numRef>
          </c:cat>
          <c:val>
            <c:numRef>
              <c:f>Temp_5nm!$C$47:$C$111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F-466C-8479-2E827AC0BFA7}"/>
            </c:ext>
          </c:extLst>
        </c:ser>
        <c:ser>
          <c:idx val="2"/>
          <c:order val="2"/>
          <c:tx>
            <c:strRef>
              <c:f>Temp_5nm!$D$46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Temp_5nm!$A$47:$A$111</c:f>
              <c:numCache>
                <c:formatCode>General</c:formatCode>
                <c:ptCount val="65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</c:numCache>
            </c:numRef>
          </c:cat>
          <c:val>
            <c:numRef>
              <c:f>Temp_5nm!$D$47:$D$111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F-466C-8479-2E827AC0BFA7}"/>
            </c:ext>
          </c:extLst>
        </c:ser>
        <c:ser>
          <c:idx val="3"/>
          <c:order val="3"/>
          <c:tx>
            <c:strRef>
              <c:f>Temp_5nm!$E$46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Temp_5nm!$A$47:$A$111</c:f>
              <c:numCache>
                <c:formatCode>General</c:formatCode>
                <c:ptCount val="65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</c:numCache>
            </c:numRef>
          </c:cat>
          <c:val>
            <c:numRef>
              <c:f>Temp_5nm!$E$47:$E$111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FF-466C-8479-2E827AC0B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843648"/>
        <c:axId val="180845568"/>
      </c:lineChart>
      <c:catAx>
        <c:axId val="18084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7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2836499272612627"/>
              <c:y val="0.88360010554236279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75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75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845568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80845568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7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%R</a:t>
                </a:r>
              </a:p>
            </c:rich>
          </c:tx>
          <c:layout>
            <c:manualLayout>
              <c:xMode val="edge"/>
              <c:yMode val="edge"/>
              <c:x val="2.3154848046309694E-2"/>
              <c:y val="0.36772570095404744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75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75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8436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1620900137121066"/>
          <c:y val="0.31746115068949715"/>
          <c:w val="0.17221418234442831"/>
          <c:h val="0.193122248607812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8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a*b* plot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Temp_5nm!$B$38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Temp_5nm!$B$40</c:f>
              <c:numCache>
                <c:formatCode>0.00</c:formatCode>
                <c:ptCount val="1"/>
              </c:numCache>
            </c:numRef>
          </c:xVal>
          <c:yVal>
            <c:numRef>
              <c:f>Temp_5nm!$B$41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7C-4188-95A8-0C68BC6637A4}"/>
            </c:ext>
          </c:extLst>
        </c:ser>
        <c:ser>
          <c:idx val="1"/>
          <c:order val="1"/>
          <c:tx>
            <c:strRef>
              <c:f>Temp_5nm!$C$38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Temp_5nm!$C$40</c:f>
              <c:numCache>
                <c:formatCode>0.00</c:formatCode>
                <c:ptCount val="1"/>
              </c:numCache>
            </c:numRef>
          </c:xVal>
          <c:yVal>
            <c:numRef>
              <c:f>Temp_5nm!$C$41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7C-4188-95A8-0C68BC6637A4}"/>
            </c:ext>
          </c:extLst>
        </c:ser>
        <c:ser>
          <c:idx val="2"/>
          <c:order val="2"/>
          <c:tx>
            <c:strRef>
              <c:f>Temp_5nm!$D$38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Temp_5nm!$D$40</c:f>
              <c:numCache>
                <c:formatCode>General</c:formatCode>
                <c:ptCount val="1"/>
              </c:numCache>
            </c:numRef>
          </c:xVal>
          <c:yVal>
            <c:numRef>
              <c:f>Temp_5nm!$D$41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7C-4188-95A8-0C68BC6637A4}"/>
            </c:ext>
          </c:extLst>
        </c:ser>
        <c:ser>
          <c:idx val="3"/>
          <c:order val="3"/>
          <c:tx>
            <c:strRef>
              <c:f>Temp_5nm!$E$38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Temp_5nm!$E$40</c:f>
              <c:numCache>
                <c:formatCode>General</c:formatCode>
                <c:ptCount val="1"/>
              </c:numCache>
            </c:numRef>
          </c:xVal>
          <c:yVal>
            <c:numRef>
              <c:f>Temp_5nm!$E$41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7C-4188-95A8-0C68BC663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08032"/>
        <c:axId val="192118784"/>
      </c:scatterChart>
      <c:valAx>
        <c:axId val="192108032"/>
        <c:scaling>
          <c:orientation val="minMax"/>
          <c:max val="100"/>
          <c:min val="-1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a*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118784"/>
        <c:crosses val="autoZero"/>
        <c:crossBetween val="midCat"/>
      </c:valAx>
      <c:valAx>
        <c:axId val="192118784"/>
        <c:scaling>
          <c:orientation val="minMax"/>
          <c:max val="100"/>
          <c:min val="-10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b*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108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1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="1"/>
              <a:t>Run#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1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35175424525869"/>
          <c:y val="0.13051174158785706"/>
          <c:w val="0.67486794975519526"/>
          <c:h val="0.6234584565818162"/>
        </c:manualLayout>
      </c:layout>
      <c:lineChart>
        <c:grouping val="standard"/>
        <c:varyColors val="0"/>
        <c:ser>
          <c:idx val="0"/>
          <c:order val="0"/>
          <c:tx>
            <c:strRef>
              <c:f>Temp_XYZ_5nm!$B$49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cat>
            <c:numRef>
              <c:f>Temp_XYZ_5nm!$A$50:$A$114</c:f>
              <c:numCache>
                <c:formatCode>General</c:formatCode>
                <c:ptCount val="65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</c:numCache>
            </c:numRef>
          </c:cat>
          <c:val>
            <c:numRef>
              <c:f>Temp_XYZ_5nm!$B$50:$B$114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8-4B7F-A5CE-4FF3731E26C6}"/>
            </c:ext>
          </c:extLst>
        </c:ser>
        <c:ser>
          <c:idx val="1"/>
          <c:order val="1"/>
          <c:tx>
            <c:strRef>
              <c:f>Temp_XYZ_5nm!$C$49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2"/>
              </a:soli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cat>
            <c:numRef>
              <c:f>Temp_XYZ_5nm!$A$50:$A$114</c:f>
              <c:numCache>
                <c:formatCode>General</c:formatCode>
                <c:ptCount val="65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</c:numCache>
            </c:numRef>
          </c:cat>
          <c:val>
            <c:numRef>
              <c:f>Temp_XYZ_5nm!$C$50:$C$114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68-4B7F-A5CE-4FF3731E26C6}"/>
            </c:ext>
          </c:extLst>
        </c:ser>
        <c:ser>
          <c:idx val="2"/>
          <c:order val="2"/>
          <c:tx>
            <c:strRef>
              <c:f>Temp_XYZ_5nm!$D$49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Temp_XYZ_5nm!$A$50:$A$114</c:f>
              <c:numCache>
                <c:formatCode>General</c:formatCode>
                <c:ptCount val="65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</c:numCache>
            </c:numRef>
          </c:cat>
          <c:val>
            <c:numRef>
              <c:f>Temp_XYZ_5nm!$D$50:$D$114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68-4B7F-A5CE-4FF3731E26C6}"/>
            </c:ext>
          </c:extLst>
        </c:ser>
        <c:ser>
          <c:idx val="3"/>
          <c:order val="3"/>
          <c:tx>
            <c:strRef>
              <c:f>Temp_XYZ_5nm!$E$49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Temp_XYZ_5nm!$A$50:$A$114</c:f>
              <c:numCache>
                <c:formatCode>General</c:formatCode>
                <c:ptCount val="65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</c:numCache>
            </c:numRef>
          </c:cat>
          <c:val>
            <c:numRef>
              <c:f>Temp_XYZ_5nm!$E$50:$E$114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68-4B7F-A5CE-4FF3731E2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843648"/>
        <c:axId val="180845568"/>
      </c:lineChart>
      <c:catAx>
        <c:axId val="18084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7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2836499272612627"/>
              <c:y val="0.88360010554236279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75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75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845568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80845568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7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%R</a:t>
                </a:r>
              </a:p>
            </c:rich>
          </c:tx>
          <c:layout>
            <c:manualLayout>
              <c:xMode val="edge"/>
              <c:yMode val="edge"/>
              <c:x val="2.3154848046309694E-2"/>
              <c:y val="0.36772570095404744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75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75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8436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1620900137121066"/>
          <c:y val="0.31746115068949715"/>
          <c:w val="0.17221418234442831"/>
          <c:h val="0.193122248607812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8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a*b* plot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Temp_XYZ_5nm!$B$38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Temp_XYZ_5nm!$B$40</c:f>
              <c:numCache>
                <c:formatCode>0.00</c:formatCode>
                <c:ptCount val="1"/>
              </c:numCache>
            </c:numRef>
          </c:xVal>
          <c:yVal>
            <c:numRef>
              <c:f>Temp_XYZ_5nm!$B$41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F1-443C-89CE-F82991C0CA24}"/>
            </c:ext>
          </c:extLst>
        </c:ser>
        <c:ser>
          <c:idx val="1"/>
          <c:order val="1"/>
          <c:tx>
            <c:strRef>
              <c:f>Temp_XYZ_5nm!$C$38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Temp_XYZ_5nm!$C$40</c:f>
              <c:numCache>
                <c:formatCode>0.00</c:formatCode>
                <c:ptCount val="1"/>
              </c:numCache>
            </c:numRef>
          </c:xVal>
          <c:yVal>
            <c:numRef>
              <c:f>Temp_XYZ_5nm!$C$41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F1-443C-89CE-F82991C0CA24}"/>
            </c:ext>
          </c:extLst>
        </c:ser>
        <c:ser>
          <c:idx val="2"/>
          <c:order val="2"/>
          <c:tx>
            <c:strRef>
              <c:f>Temp_XYZ_5nm!$D$38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Temp_XYZ_5nm!$D$40</c:f>
              <c:numCache>
                <c:formatCode>General</c:formatCode>
                <c:ptCount val="1"/>
              </c:numCache>
            </c:numRef>
          </c:xVal>
          <c:yVal>
            <c:numRef>
              <c:f>Temp_XYZ_5nm!$D$41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F1-443C-89CE-F82991C0CA24}"/>
            </c:ext>
          </c:extLst>
        </c:ser>
        <c:ser>
          <c:idx val="3"/>
          <c:order val="3"/>
          <c:tx>
            <c:strRef>
              <c:f>Temp_XYZ_5nm!$E$38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Temp_XYZ_5nm!$E$40</c:f>
              <c:numCache>
                <c:formatCode>General</c:formatCode>
                <c:ptCount val="1"/>
              </c:numCache>
            </c:numRef>
          </c:xVal>
          <c:yVal>
            <c:numRef>
              <c:f>Temp_XYZ_5nm!$E$41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F1-443C-89CE-F82991C0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08032"/>
        <c:axId val="192118784"/>
      </c:scatterChart>
      <c:valAx>
        <c:axId val="192108032"/>
        <c:scaling>
          <c:orientation val="minMax"/>
          <c:max val="100"/>
          <c:min val="-1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a*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118784"/>
        <c:crosses val="autoZero"/>
        <c:crossBetween val="midCat"/>
      </c:valAx>
      <c:valAx>
        <c:axId val="192118784"/>
        <c:scaling>
          <c:orientation val="minMax"/>
          <c:max val="100"/>
          <c:min val="-10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b*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108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1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="1"/>
              <a:t>Run#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1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35175424525869"/>
          <c:y val="0.13051174158785706"/>
          <c:w val="0.67486794975519526"/>
          <c:h val="0.6234584565818162"/>
        </c:manualLayout>
      </c:layout>
      <c:lineChart>
        <c:grouping val="standard"/>
        <c:varyColors val="0"/>
        <c:ser>
          <c:idx val="0"/>
          <c:order val="0"/>
          <c:tx>
            <c:strRef>
              <c:f>Temp_10nm!$B$46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cat>
            <c:numRef>
              <c:f>Temp_10nm!$A$47:$A$79</c:f>
              <c:numCache>
                <c:formatCode>General</c:formatCode>
                <c:ptCount val="33"/>
                <c:pt idx="0">
                  <c:v>380</c:v>
                </c:pt>
                <c:pt idx="1">
                  <c:v>390</c:v>
                </c:pt>
                <c:pt idx="2">
                  <c:v>400</c:v>
                </c:pt>
                <c:pt idx="3">
                  <c:v>410</c:v>
                </c:pt>
                <c:pt idx="4">
                  <c:v>420</c:v>
                </c:pt>
                <c:pt idx="5">
                  <c:v>430</c:v>
                </c:pt>
                <c:pt idx="6">
                  <c:v>440</c:v>
                </c:pt>
                <c:pt idx="7">
                  <c:v>450</c:v>
                </c:pt>
                <c:pt idx="8">
                  <c:v>460</c:v>
                </c:pt>
                <c:pt idx="9">
                  <c:v>470</c:v>
                </c:pt>
                <c:pt idx="10">
                  <c:v>480</c:v>
                </c:pt>
                <c:pt idx="11">
                  <c:v>490</c:v>
                </c:pt>
                <c:pt idx="12">
                  <c:v>500</c:v>
                </c:pt>
                <c:pt idx="13">
                  <c:v>510</c:v>
                </c:pt>
                <c:pt idx="14">
                  <c:v>520</c:v>
                </c:pt>
                <c:pt idx="15">
                  <c:v>530</c:v>
                </c:pt>
                <c:pt idx="16">
                  <c:v>540</c:v>
                </c:pt>
                <c:pt idx="17">
                  <c:v>550</c:v>
                </c:pt>
                <c:pt idx="18">
                  <c:v>560</c:v>
                </c:pt>
                <c:pt idx="19">
                  <c:v>570</c:v>
                </c:pt>
                <c:pt idx="20">
                  <c:v>580</c:v>
                </c:pt>
                <c:pt idx="21">
                  <c:v>590</c:v>
                </c:pt>
                <c:pt idx="22">
                  <c:v>600</c:v>
                </c:pt>
                <c:pt idx="23">
                  <c:v>610</c:v>
                </c:pt>
                <c:pt idx="24">
                  <c:v>620</c:v>
                </c:pt>
                <c:pt idx="25">
                  <c:v>630</c:v>
                </c:pt>
                <c:pt idx="26">
                  <c:v>640</c:v>
                </c:pt>
                <c:pt idx="27">
                  <c:v>650</c:v>
                </c:pt>
                <c:pt idx="28">
                  <c:v>660</c:v>
                </c:pt>
                <c:pt idx="29">
                  <c:v>670</c:v>
                </c:pt>
                <c:pt idx="30">
                  <c:v>680</c:v>
                </c:pt>
                <c:pt idx="31">
                  <c:v>690</c:v>
                </c:pt>
                <c:pt idx="32">
                  <c:v>700</c:v>
                </c:pt>
              </c:numCache>
            </c:numRef>
          </c:cat>
          <c:val>
            <c:numRef>
              <c:f>Temp_10nm!$B$47:$B$79</c:f>
              <c:numCache>
                <c:formatCode>0.00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B-4368-9941-90DD2566BDCB}"/>
            </c:ext>
          </c:extLst>
        </c:ser>
        <c:ser>
          <c:idx val="1"/>
          <c:order val="1"/>
          <c:tx>
            <c:strRef>
              <c:f>Temp_10nm!$C$46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2"/>
              </a:soli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cat>
            <c:numRef>
              <c:f>Temp_10nm!$A$47:$A$79</c:f>
              <c:numCache>
                <c:formatCode>General</c:formatCode>
                <c:ptCount val="33"/>
                <c:pt idx="0">
                  <c:v>380</c:v>
                </c:pt>
                <c:pt idx="1">
                  <c:v>390</c:v>
                </c:pt>
                <c:pt idx="2">
                  <c:v>400</c:v>
                </c:pt>
                <c:pt idx="3">
                  <c:v>410</c:v>
                </c:pt>
                <c:pt idx="4">
                  <c:v>420</c:v>
                </c:pt>
                <c:pt idx="5">
                  <c:v>430</c:v>
                </c:pt>
                <c:pt idx="6">
                  <c:v>440</c:v>
                </c:pt>
                <c:pt idx="7">
                  <c:v>450</c:v>
                </c:pt>
                <c:pt idx="8">
                  <c:v>460</c:v>
                </c:pt>
                <c:pt idx="9">
                  <c:v>470</c:v>
                </c:pt>
                <c:pt idx="10">
                  <c:v>480</c:v>
                </c:pt>
                <c:pt idx="11">
                  <c:v>490</c:v>
                </c:pt>
                <c:pt idx="12">
                  <c:v>500</c:v>
                </c:pt>
                <c:pt idx="13">
                  <c:v>510</c:v>
                </c:pt>
                <c:pt idx="14">
                  <c:v>520</c:v>
                </c:pt>
                <c:pt idx="15">
                  <c:v>530</c:v>
                </c:pt>
                <c:pt idx="16">
                  <c:v>540</c:v>
                </c:pt>
                <c:pt idx="17">
                  <c:v>550</c:v>
                </c:pt>
                <c:pt idx="18">
                  <c:v>560</c:v>
                </c:pt>
                <c:pt idx="19">
                  <c:v>570</c:v>
                </c:pt>
                <c:pt idx="20">
                  <c:v>580</c:v>
                </c:pt>
                <c:pt idx="21">
                  <c:v>590</c:v>
                </c:pt>
                <c:pt idx="22">
                  <c:v>600</c:v>
                </c:pt>
                <c:pt idx="23">
                  <c:v>610</c:v>
                </c:pt>
                <c:pt idx="24">
                  <c:v>620</c:v>
                </c:pt>
                <c:pt idx="25">
                  <c:v>630</c:v>
                </c:pt>
                <c:pt idx="26">
                  <c:v>640</c:v>
                </c:pt>
                <c:pt idx="27">
                  <c:v>650</c:v>
                </c:pt>
                <c:pt idx="28">
                  <c:v>660</c:v>
                </c:pt>
                <c:pt idx="29">
                  <c:v>670</c:v>
                </c:pt>
                <c:pt idx="30">
                  <c:v>680</c:v>
                </c:pt>
                <c:pt idx="31">
                  <c:v>690</c:v>
                </c:pt>
                <c:pt idx="32">
                  <c:v>700</c:v>
                </c:pt>
              </c:numCache>
            </c:numRef>
          </c:cat>
          <c:val>
            <c:numRef>
              <c:f>Temp_10nm!$C$47:$C$79</c:f>
              <c:numCache>
                <c:formatCode>0.00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DB-4368-9941-90DD2566BDCB}"/>
            </c:ext>
          </c:extLst>
        </c:ser>
        <c:ser>
          <c:idx val="2"/>
          <c:order val="2"/>
          <c:tx>
            <c:strRef>
              <c:f>Temp_10nm!$D$46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Temp_10nm!$A$47:$A$79</c:f>
              <c:numCache>
                <c:formatCode>General</c:formatCode>
                <c:ptCount val="33"/>
                <c:pt idx="0">
                  <c:v>380</c:v>
                </c:pt>
                <c:pt idx="1">
                  <c:v>390</c:v>
                </c:pt>
                <c:pt idx="2">
                  <c:v>400</c:v>
                </c:pt>
                <c:pt idx="3">
                  <c:v>410</c:v>
                </c:pt>
                <c:pt idx="4">
                  <c:v>420</c:v>
                </c:pt>
                <c:pt idx="5">
                  <c:v>430</c:v>
                </c:pt>
                <c:pt idx="6">
                  <c:v>440</c:v>
                </c:pt>
                <c:pt idx="7">
                  <c:v>450</c:v>
                </c:pt>
                <c:pt idx="8">
                  <c:v>460</c:v>
                </c:pt>
                <c:pt idx="9">
                  <c:v>470</c:v>
                </c:pt>
                <c:pt idx="10">
                  <c:v>480</c:v>
                </c:pt>
                <c:pt idx="11">
                  <c:v>490</c:v>
                </c:pt>
                <c:pt idx="12">
                  <c:v>500</c:v>
                </c:pt>
                <c:pt idx="13">
                  <c:v>510</c:v>
                </c:pt>
                <c:pt idx="14">
                  <c:v>520</c:v>
                </c:pt>
                <c:pt idx="15">
                  <c:v>530</c:v>
                </c:pt>
                <c:pt idx="16">
                  <c:v>540</c:v>
                </c:pt>
                <c:pt idx="17">
                  <c:v>550</c:v>
                </c:pt>
                <c:pt idx="18">
                  <c:v>560</c:v>
                </c:pt>
                <c:pt idx="19">
                  <c:v>570</c:v>
                </c:pt>
                <c:pt idx="20">
                  <c:v>580</c:v>
                </c:pt>
                <c:pt idx="21">
                  <c:v>590</c:v>
                </c:pt>
                <c:pt idx="22">
                  <c:v>600</c:v>
                </c:pt>
                <c:pt idx="23">
                  <c:v>610</c:v>
                </c:pt>
                <c:pt idx="24">
                  <c:v>620</c:v>
                </c:pt>
                <c:pt idx="25">
                  <c:v>630</c:v>
                </c:pt>
                <c:pt idx="26">
                  <c:v>640</c:v>
                </c:pt>
                <c:pt idx="27">
                  <c:v>650</c:v>
                </c:pt>
                <c:pt idx="28">
                  <c:v>660</c:v>
                </c:pt>
                <c:pt idx="29">
                  <c:v>670</c:v>
                </c:pt>
                <c:pt idx="30">
                  <c:v>680</c:v>
                </c:pt>
                <c:pt idx="31">
                  <c:v>690</c:v>
                </c:pt>
                <c:pt idx="32">
                  <c:v>700</c:v>
                </c:pt>
              </c:numCache>
            </c:numRef>
          </c:cat>
          <c:val>
            <c:numRef>
              <c:f>Temp_10nm!$D$47:$D$79</c:f>
              <c:numCache>
                <c:formatCode>0.00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DB-4368-9941-90DD2566BDCB}"/>
            </c:ext>
          </c:extLst>
        </c:ser>
        <c:ser>
          <c:idx val="3"/>
          <c:order val="3"/>
          <c:tx>
            <c:strRef>
              <c:f>Temp_10nm!$E$46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Temp_10nm!$A$47:$A$79</c:f>
              <c:numCache>
                <c:formatCode>General</c:formatCode>
                <c:ptCount val="33"/>
                <c:pt idx="0">
                  <c:v>380</c:v>
                </c:pt>
                <c:pt idx="1">
                  <c:v>390</c:v>
                </c:pt>
                <c:pt idx="2">
                  <c:v>400</c:v>
                </c:pt>
                <c:pt idx="3">
                  <c:v>410</c:v>
                </c:pt>
                <c:pt idx="4">
                  <c:v>420</c:v>
                </c:pt>
                <c:pt idx="5">
                  <c:v>430</c:v>
                </c:pt>
                <c:pt idx="6">
                  <c:v>440</c:v>
                </c:pt>
                <c:pt idx="7">
                  <c:v>450</c:v>
                </c:pt>
                <c:pt idx="8">
                  <c:v>460</c:v>
                </c:pt>
                <c:pt idx="9">
                  <c:v>470</c:v>
                </c:pt>
                <c:pt idx="10">
                  <c:v>480</c:v>
                </c:pt>
                <c:pt idx="11">
                  <c:v>490</c:v>
                </c:pt>
                <c:pt idx="12">
                  <c:v>500</c:v>
                </c:pt>
                <c:pt idx="13">
                  <c:v>510</c:v>
                </c:pt>
                <c:pt idx="14">
                  <c:v>520</c:v>
                </c:pt>
                <c:pt idx="15">
                  <c:v>530</c:v>
                </c:pt>
                <c:pt idx="16">
                  <c:v>540</c:v>
                </c:pt>
                <c:pt idx="17">
                  <c:v>550</c:v>
                </c:pt>
                <c:pt idx="18">
                  <c:v>560</c:v>
                </c:pt>
                <c:pt idx="19">
                  <c:v>570</c:v>
                </c:pt>
                <c:pt idx="20">
                  <c:v>580</c:v>
                </c:pt>
                <c:pt idx="21">
                  <c:v>590</c:v>
                </c:pt>
                <c:pt idx="22">
                  <c:v>600</c:v>
                </c:pt>
                <c:pt idx="23">
                  <c:v>610</c:v>
                </c:pt>
                <c:pt idx="24">
                  <c:v>620</c:v>
                </c:pt>
                <c:pt idx="25">
                  <c:v>630</c:v>
                </c:pt>
                <c:pt idx="26">
                  <c:v>640</c:v>
                </c:pt>
                <c:pt idx="27">
                  <c:v>650</c:v>
                </c:pt>
                <c:pt idx="28">
                  <c:v>660</c:v>
                </c:pt>
                <c:pt idx="29">
                  <c:v>670</c:v>
                </c:pt>
                <c:pt idx="30">
                  <c:v>680</c:v>
                </c:pt>
                <c:pt idx="31">
                  <c:v>690</c:v>
                </c:pt>
                <c:pt idx="32">
                  <c:v>700</c:v>
                </c:pt>
              </c:numCache>
            </c:numRef>
          </c:cat>
          <c:val>
            <c:numRef>
              <c:f>Temp_10nm!$E$47:$E$79</c:f>
              <c:numCache>
                <c:formatCode>0.00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DB-4368-9941-90DD2566B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843648"/>
        <c:axId val="180845568"/>
      </c:lineChart>
      <c:catAx>
        <c:axId val="18084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7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2836499272612627"/>
              <c:y val="0.88360010554236279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75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75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845568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80845568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7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%R</a:t>
                </a:r>
              </a:p>
            </c:rich>
          </c:tx>
          <c:layout>
            <c:manualLayout>
              <c:xMode val="edge"/>
              <c:yMode val="edge"/>
              <c:x val="2.3154848046309694E-2"/>
              <c:y val="0.36772570095404744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75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75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8436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1620900137121066"/>
          <c:y val="0.31746115068949715"/>
          <c:w val="0.17221418234442831"/>
          <c:h val="0.193122248607812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8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a*b* plot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Temp_10nm!$B$38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Temp_10nm!$B$40</c:f>
              <c:numCache>
                <c:formatCode>0.00</c:formatCode>
                <c:ptCount val="1"/>
              </c:numCache>
            </c:numRef>
          </c:xVal>
          <c:yVal>
            <c:numRef>
              <c:f>Temp_10nm!$B$41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6-4076-883E-FF78F736873E}"/>
            </c:ext>
          </c:extLst>
        </c:ser>
        <c:ser>
          <c:idx val="1"/>
          <c:order val="1"/>
          <c:tx>
            <c:strRef>
              <c:f>Temp_10nm!$C$38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Temp_10nm!$C$40</c:f>
              <c:numCache>
                <c:formatCode>0.00</c:formatCode>
                <c:ptCount val="1"/>
              </c:numCache>
            </c:numRef>
          </c:xVal>
          <c:yVal>
            <c:numRef>
              <c:f>Temp_10nm!$C$41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16-4076-883E-FF78F736873E}"/>
            </c:ext>
          </c:extLst>
        </c:ser>
        <c:ser>
          <c:idx val="2"/>
          <c:order val="2"/>
          <c:tx>
            <c:strRef>
              <c:f>Temp_10nm!$D$38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Temp_10nm!$D$40</c:f>
              <c:numCache>
                <c:formatCode>General</c:formatCode>
                <c:ptCount val="1"/>
              </c:numCache>
            </c:numRef>
          </c:xVal>
          <c:yVal>
            <c:numRef>
              <c:f>Temp_10nm!$D$41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16-4076-883E-FF78F736873E}"/>
            </c:ext>
          </c:extLst>
        </c:ser>
        <c:ser>
          <c:idx val="3"/>
          <c:order val="3"/>
          <c:tx>
            <c:strRef>
              <c:f>Temp_10nm!$E$38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Temp_10nm!$E$40</c:f>
              <c:numCache>
                <c:formatCode>General</c:formatCode>
                <c:ptCount val="1"/>
              </c:numCache>
            </c:numRef>
          </c:xVal>
          <c:yVal>
            <c:numRef>
              <c:f>Temp_10nm!$E$41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16-4076-883E-FF78F7368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08032"/>
        <c:axId val="192118784"/>
      </c:scatterChart>
      <c:valAx>
        <c:axId val="192108032"/>
        <c:scaling>
          <c:orientation val="minMax"/>
          <c:max val="100"/>
          <c:min val="-1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a*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118784"/>
        <c:crosses val="autoZero"/>
        <c:crossBetween val="midCat"/>
      </c:valAx>
      <c:valAx>
        <c:axId val="192118784"/>
        <c:scaling>
          <c:orientation val="minMax"/>
          <c:max val="100"/>
          <c:min val="-10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b*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108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1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="1"/>
              <a:t>Run#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1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35175424525869"/>
          <c:y val="0.13051174158785706"/>
          <c:w val="0.67486794975519526"/>
          <c:h val="0.6234584565818162"/>
        </c:manualLayout>
      </c:layout>
      <c:lineChart>
        <c:grouping val="standard"/>
        <c:varyColors val="0"/>
        <c:ser>
          <c:idx val="0"/>
          <c:order val="0"/>
          <c:tx>
            <c:strRef>
              <c:f>Temp_XYZ_10nm!$B$49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cat>
            <c:numRef>
              <c:f>Temp_XYZ_10nm!$A$50:$A$114</c:f>
              <c:numCache>
                <c:formatCode>General</c:formatCode>
                <c:ptCount val="65"/>
                <c:pt idx="0">
                  <c:v>380</c:v>
                </c:pt>
                <c:pt idx="1">
                  <c:v>390</c:v>
                </c:pt>
                <c:pt idx="2">
                  <c:v>400</c:v>
                </c:pt>
                <c:pt idx="3">
                  <c:v>410</c:v>
                </c:pt>
                <c:pt idx="4">
                  <c:v>420</c:v>
                </c:pt>
                <c:pt idx="5">
                  <c:v>430</c:v>
                </c:pt>
                <c:pt idx="6">
                  <c:v>440</c:v>
                </c:pt>
                <c:pt idx="7">
                  <c:v>450</c:v>
                </c:pt>
                <c:pt idx="8">
                  <c:v>460</c:v>
                </c:pt>
                <c:pt idx="9">
                  <c:v>470</c:v>
                </c:pt>
                <c:pt idx="10">
                  <c:v>480</c:v>
                </c:pt>
                <c:pt idx="11">
                  <c:v>490</c:v>
                </c:pt>
                <c:pt idx="12">
                  <c:v>500</c:v>
                </c:pt>
                <c:pt idx="13">
                  <c:v>510</c:v>
                </c:pt>
                <c:pt idx="14">
                  <c:v>520</c:v>
                </c:pt>
                <c:pt idx="15">
                  <c:v>530</c:v>
                </c:pt>
                <c:pt idx="16">
                  <c:v>540</c:v>
                </c:pt>
                <c:pt idx="17">
                  <c:v>550</c:v>
                </c:pt>
                <c:pt idx="18">
                  <c:v>560</c:v>
                </c:pt>
                <c:pt idx="19">
                  <c:v>570</c:v>
                </c:pt>
                <c:pt idx="20">
                  <c:v>580</c:v>
                </c:pt>
                <c:pt idx="21">
                  <c:v>590</c:v>
                </c:pt>
                <c:pt idx="22">
                  <c:v>600</c:v>
                </c:pt>
                <c:pt idx="23">
                  <c:v>610</c:v>
                </c:pt>
                <c:pt idx="24">
                  <c:v>620</c:v>
                </c:pt>
                <c:pt idx="25">
                  <c:v>630</c:v>
                </c:pt>
                <c:pt idx="26">
                  <c:v>640</c:v>
                </c:pt>
                <c:pt idx="27">
                  <c:v>650</c:v>
                </c:pt>
                <c:pt idx="28">
                  <c:v>660</c:v>
                </c:pt>
                <c:pt idx="29">
                  <c:v>670</c:v>
                </c:pt>
                <c:pt idx="30">
                  <c:v>680</c:v>
                </c:pt>
                <c:pt idx="31">
                  <c:v>690</c:v>
                </c:pt>
                <c:pt idx="32">
                  <c:v>700</c:v>
                </c:pt>
              </c:numCache>
            </c:numRef>
          </c:cat>
          <c:val>
            <c:numRef>
              <c:f>Temp_XYZ_10nm!$B$50:$B$114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C-4714-88F0-A184CD75D911}"/>
            </c:ext>
          </c:extLst>
        </c:ser>
        <c:ser>
          <c:idx val="1"/>
          <c:order val="1"/>
          <c:tx>
            <c:strRef>
              <c:f>Temp_XYZ_10nm!$C$49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2"/>
              </a:soli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cat>
            <c:numRef>
              <c:f>Temp_XYZ_10nm!$A$50:$A$114</c:f>
              <c:numCache>
                <c:formatCode>General</c:formatCode>
                <c:ptCount val="65"/>
                <c:pt idx="0">
                  <c:v>380</c:v>
                </c:pt>
                <c:pt idx="1">
                  <c:v>390</c:v>
                </c:pt>
                <c:pt idx="2">
                  <c:v>400</c:v>
                </c:pt>
                <c:pt idx="3">
                  <c:v>410</c:v>
                </c:pt>
                <c:pt idx="4">
                  <c:v>420</c:v>
                </c:pt>
                <c:pt idx="5">
                  <c:v>430</c:v>
                </c:pt>
                <c:pt idx="6">
                  <c:v>440</c:v>
                </c:pt>
                <c:pt idx="7">
                  <c:v>450</c:v>
                </c:pt>
                <c:pt idx="8">
                  <c:v>460</c:v>
                </c:pt>
                <c:pt idx="9">
                  <c:v>470</c:v>
                </c:pt>
                <c:pt idx="10">
                  <c:v>480</c:v>
                </c:pt>
                <c:pt idx="11">
                  <c:v>490</c:v>
                </c:pt>
                <c:pt idx="12">
                  <c:v>500</c:v>
                </c:pt>
                <c:pt idx="13">
                  <c:v>510</c:v>
                </c:pt>
                <c:pt idx="14">
                  <c:v>520</c:v>
                </c:pt>
                <c:pt idx="15">
                  <c:v>530</c:v>
                </c:pt>
                <c:pt idx="16">
                  <c:v>540</c:v>
                </c:pt>
                <c:pt idx="17">
                  <c:v>550</c:v>
                </c:pt>
                <c:pt idx="18">
                  <c:v>560</c:v>
                </c:pt>
                <c:pt idx="19">
                  <c:v>570</c:v>
                </c:pt>
                <c:pt idx="20">
                  <c:v>580</c:v>
                </c:pt>
                <c:pt idx="21">
                  <c:v>590</c:v>
                </c:pt>
                <c:pt idx="22">
                  <c:v>600</c:v>
                </c:pt>
                <c:pt idx="23">
                  <c:v>610</c:v>
                </c:pt>
                <c:pt idx="24">
                  <c:v>620</c:v>
                </c:pt>
                <c:pt idx="25">
                  <c:v>630</c:v>
                </c:pt>
                <c:pt idx="26">
                  <c:v>640</c:v>
                </c:pt>
                <c:pt idx="27">
                  <c:v>650</c:v>
                </c:pt>
                <c:pt idx="28">
                  <c:v>660</c:v>
                </c:pt>
                <c:pt idx="29">
                  <c:v>670</c:v>
                </c:pt>
                <c:pt idx="30">
                  <c:v>680</c:v>
                </c:pt>
                <c:pt idx="31">
                  <c:v>690</c:v>
                </c:pt>
                <c:pt idx="32">
                  <c:v>700</c:v>
                </c:pt>
              </c:numCache>
            </c:numRef>
          </c:cat>
          <c:val>
            <c:numRef>
              <c:f>Temp_XYZ_10nm!$C$50:$C$114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C-4714-88F0-A184CD75D911}"/>
            </c:ext>
          </c:extLst>
        </c:ser>
        <c:ser>
          <c:idx val="2"/>
          <c:order val="2"/>
          <c:tx>
            <c:strRef>
              <c:f>Temp_XYZ_10nm!$D$49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Temp_XYZ_10nm!$A$50:$A$114</c:f>
              <c:numCache>
                <c:formatCode>General</c:formatCode>
                <c:ptCount val="65"/>
                <c:pt idx="0">
                  <c:v>380</c:v>
                </c:pt>
                <c:pt idx="1">
                  <c:v>390</c:v>
                </c:pt>
                <c:pt idx="2">
                  <c:v>400</c:v>
                </c:pt>
                <c:pt idx="3">
                  <c:v>410</c:v>
                </c:pt>
                <c:pt idx="4">
                  <c:v>420</c:v>
                </c:pt>
                <c:pt idx="5">
                  <c:v>430</c:v>
                </c:pt>
                <c:pt idx="6">
                  <c:v>440</c:v>
                </c:pt>
                <c:pt idx="7">
                  <c:v>450</c:v>
                </c:pt>
                <c:pt idx="8">
                  <c:v>460</c:v>
                </c:pt>
                <c:pt idx="9">
                  <c:v>470</c:v>
                </c:pt>
                <c:pt idx="10">
                  <c:v>480</c:v>
                </c:pt>
                <c:pt idx="11">
                  <c:v>490</c:v>
                </c:pt>
                <c:pt idx="12">
                  <c:v>500</c:v>
                </c:pt>
                <c:pt idx="13">
                  <c:v>510</c:v>
                </c:pt>
                <c:pt idx="14">
                  <c:v>520</c:v>
                </c:pt>
                <c:pt idx="15">
                  <c:v>530</c:v>
                </c:pt>
                <c:pt idx="16">
                  <c:v>540</c:v>
                </c:pt>
                <c:pt idx="17">
                  <c:v>550</c:v>
                </c:pt>
                <c:pt idx="18">
                  <c:v>560</c:v>
                </c:pt>
                <c:pt idx="19">
                  <c:v>570</c:v>
                </c:pt>
                <c:pt idx="20">
                  <c:v>580</c:v>
                </c:pt>
                <c:pt idx="21">
                  <c:v>590</c:v>
                </c:pt>
                <c:pt idx="22">
                  <c:v>600</c:v>
                </c:pt>
                <c:pt idx="23">
                  <c:v>610</c:v>
                </c:pt>
                <c:pt idx="24">
                  <c:v>620</c:v>
                </c:pt>
                <c:pt idx="25">
                  <c:v>630</c:v>
                </c:pt>
                <c:pt idx="26">
                  <c:v>640</c:v>
                </c:pt>
                <c:pt idx="27">
                  <c:v>650</c:v>
                </c:pt>
                <c:pt idx="28">
                  <c:v>660</c:v>
                </c:pt>
                <c:pt idx="29">
                  <c:v>670</c:v>
                </c:pt>
                <c:pt idx="30">
                  <c:v>680</c:v>
                </c:pt>
                <c:pt idx="31">
                  <c:v>690</c:v>
                </c:pt>
                <c:pt idx="32">
                  <c:v>700</c:v>
                </c:pt>
              </c:numCache>
            </c:numRef>
          </c:cat>
          <c:val>
            <c:numRef>
              <c:f>Temp_XYZ_10nm!$D$50:$D$114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7C-4714-88F0-A184CD75D911}"/>
            </c:ext>
          </c:extLst>
        </c:ser>
        <c:ser>
          <c:idx val="3"/>
          <c:order val="3"/>
          <c:tx>
            <c:strRef>
              <c:f>Temp_XYZ_10nm!$E$49</c:f>
              <c:strCache>
                <c:ptCount val="1"/>
              </c:strCache>
            </c:strRef>
          </c:tx>
          <c:spPr>
            <a:ln w="28575" cap="rnd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Temp_XYZ_10nm!$A$50:$A$114</c:f>
              <c:numCache>
                <c:formatCode>General</c:formatCode>
                <c:ptCount val="65"/>
                <c:pt idx="0">
                  <c:v>380</c:v>
                </c:pt>
                <c:pt idx="1">
                  <c:v>390</c:v>
                </c:pt>
                <c:pt idx="2">
                  <c:v>400</c:v>
                </c:pt>
                <c:pt idx="3">
                  <c:v>410</c:v>
                </c:pt>
                <c:pt idx="4">
                  <c:v>420</c:v>
                </c:pt>
                <c:pt idx="5">
                  <c:v>430</c:v>
                </c:pt>
                <c:pt idx="6">
                  <c:v>440</c:v>
                </c:pt>
                <c:pt idx="7">
                  <c:v>450</c:v>
                </c:pt>
                <c:pt idx="8">
                  <c:v>460</c:v>
                </c:pt>
                <c:pt idx="9">
                  <c:v>470</c:v>
                </c:pt>
                <c:pt idx="10">
                  <c:v>480</c:v>
                </c:pt>
                <c:pt idx="11">
                  <c:v>490</c:v>
                </c:pt>
                <c:pt idx="12">
                  <c:v>500</c:v>
                </c:pt>
                <c:pt idx="13">
                  <c:v>510</c:v>
                </c:pt>
                <c:pt idx="14">
                  <c:v>520</c:v>
                </c:pt>
                <c:pt idx="15">
                  <c:v>530</c:v>
                </c:pt>
                <c:pt idx="16">
                  <c:v>540</c:v>
                </c:pt>
                <c:pt idx="17">
                  <c:v>550</c:v>
                </c:pt>
                <c:pt idx="18">
                  <c:v>560</c:v>
                </c:pt>
                <c:pt idx="19">
                  <c:v>570</c:v>
                </c:pt>
                <c:pt idx="20">
                  <c:v>580</c:v>
                </c:pt>
                <c:pt idx="21">
                  <c:v>590</c:v>
                </c:pt>
                <c:pt idx="22">
                  <c:v>600</c:v>
                </c:pt>
                <c:pt idx="23">
                  <c:v>610</c:v>
                </c:pt>
                <c:pt idx="24">
                  <c:v>620</c:v>
                </c:pt>
                <c:pt idx="25">
                  <c:v>630</c:v>
                </c:pt>
                <c:pt idx="26">
                  <c:v>640</c:v>
                </c:pt>
                <c:pt idx="27">
                  <c:v>650</c:v>
                </c:pt>
                <c:pt idx="28">
                  <c:v>660</c:v>
                </c:pt>
                <c:pt idx="29">
                  <c:v>670</c:v>
                </c:pt>
                <c:pt idx="30">
                  <c:v>680</c:v>
                </c:pt>
                <c:pt idx="31">
                  <c:v>690</c:v>
                </c:pt>
                <c:pt idx="32">
                  <c:v>700</c:v>
                </c:pt>
              </c:numCache>
            </c:numRef>
          </c:cat>
          <c:val>
            <c:numRef>
              <c:f>Temp_XYZ_10nm!$E$50:$E$114</c:f>
              <c:numCache>
                <c:formatCode>0.00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7C-4714-88F0-A184CD75D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843648"/>
        <c:axId val="180845568"/>
      </c:lineChart>
      <c:catAx>
        <c:axId val="18084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7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2836499272612627"/>
              <c:y val="0.88360010554236279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75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75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845568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80845568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75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%R</a:t>
                </a:r>
              </a:p>
            </c:rich>
          </c:tx>
          <c:layout>
            <c:manualLayout>
              <c:xMode val="edge"/>
              <c:yMode val="edge"/>
              <c:x val="2.3154848046309694E-2"/>
              <c:y val="0.36772570095404744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75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75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8436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1620900137121066"/>
          <c:y val="0.31746115068949715"/>
          <c:w val="0.17221418234442831"/>
          <c:h val="0.193122248607812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80" b="0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a*b* plot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Temp_XYZ_10nm!$B$38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Temp_XYZ_10nm!$B$40</c:f>
              <c:numCache>
                <c:formatCode>0.00</c:formatCode>
                <c:ptCount val="1"/>
              </c:numCache>
            </c:numRef>
          </c:xVal>
          <c:yVal>
            <c:numRef>
              <c:f>Temp_XYZ_10nm!$B$41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DA-43FA-9872-AEC43A3B9F7A}"/>
            </c:ext>
          </c:extLst>
        </c:ser>
        <c:ser>
          <c:idx val="1"/>
          <c:order val="1"/>
          <c:tx>
            <c:strRef>
              <c:f>Temp_XYZ_10nm!$C$38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Temp_XYZ_10nm!$C$40</c:f>
              <c:numCache>
                <c:formatCode>0.00</c:formatCode>
                <c:ptCount val="1"/>
              </c:numCache>
            </c:numRef>
          </c:xVal>
          <c:yVal>
            <c:numRef>
              <c:f>Temp_XYZ_10nm!$C$41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DA-43FA-9872-AEC43A3B9F7A}"/>
            </c:ext>
          </c:extLst>
        </c:ser>
        <c:ser>
          <c:idx val="2"/>
          <c:order val="2"/>
          <c:tx>
            <c:strRef>
              <c:f>Temp_XYZ_10nm!$D$38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Temp_XYZ_10nm!$D$40</c:f>
              <c:numCache>
                <c:formatCode>General</c:formatCode>
                <c:ptCount val="1"/>
              </c:numCache>
            </c:numRef>
          </c:xVal>
          <c:yVal>
            <c:numRef>
              <c:f>Temp_XYZ_10nm!$D$41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DA-43FA-9872-AEC43A3B9F7A}"/>
            </c:ext>
          </c:extLst>
        </c:ser>
        <c:ser>
          <c:idx val="3"/>
          <c:order val="3"/>
          <c:tx>
            <c:strRef>
              <c:f>Temp_XYZ_10nm!$E$38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Temp_XYZ_10nm!$E$40</c:f>
              <c:numCache>
                <c:formatCode>General</c:formatCode>
                <c:ptCount val="1"/>
              </c:numCache>
            </c:numRef>
          </c:xVal>
          <c:yVal>
            <c:numRef>
              <c:f>Temp_XYZ_10nm!$E$41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DA-43FA-9872-AEC43A3B9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08032"/>
        <c:axId val="192118784"/>
      </c:scatterChart>
      <c:valAx>
        <c:axId val="192108032"/>
        <c:scaling>
          <c:orientation val="minMax"/>
          <c:max val="100"/>
          <c:min val="-1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a*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118784"/>
        <c:crosses val="autoZero"/>
        <c:crossBetween val="midCat"/>
      </c:valAx>
      <c:valAx>
        <c:axId val="192118784"/>
        <c:scaling>
          <c:orientation val="minMax"/>
          <c:max val="100"/>
          <c:min val="-10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b*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108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2</xdr:row>
          <xdr:rowOff>0</xdr:rowOff>
        </xdr:from>
        <xdr:to>
          <xdr:col>2</xdr:col>
          <xdr:colOff>558800</xdr:colOff>
          <xdr:row>5</xdr:row>
          <xdr:rowOff>120650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Get_Results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0</xdr:rowOff>
    </xdr:from>
    <xdr:to>
      <xdr:col>9</xdr:col>
      <xdr:colOff>654051</xdr:colOff>
      <xdr:row>29</xdr:row>
      <xdr:rowOff>88900</xdr:rowOff>
    </xdr:to>
    <xdr:graphicFrame macro="">
      <xdr:nvGraphicFramePr>
        <xdr:cNvPr id="1035" name="Chart 2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260350</xdr:colOff>
      <xdr:row>0</xdr:row>
      <xdr:rowOff>0</xdr:rowOff>
    </xdr:from>
    <xdr:to>
      <xdr:col>22</xdr:col>
      <xdr:colOff>422275</xdr:colOff>
      <xdr:row>31</xdr:row>
      <xdr:rowOff>133350</xdr:rowOff>
    </xdr:to>
    <xdr:graphicFrame macro="">
      <xdr:nvGraphicFramePr>
        <xdr:cNvPr id="1036" name="Chart 3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0</xdr:rowOff>
    </xdr:from>
    <xdr:to>
      <xdr:col>9</xdr:col>
      <xdr:colOff>654051</xdr:colOff>
      <xdr:row>29</xdr:row>
      <xdr:rowOff>88900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260350</xdr:colOff>
      <xdr:row>0</xdr:row>
      <xdr:rowOff>0</xdr:rowOff>
    </xdr:from>
    <xdr:to>
      <xdr:col>22</xdr:col>
      <xdr:colOff>422275</xdr:colOff>
      <xdr:row>31</xdr:row>
      <xdr:rowOff>133350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0</xdr:rowOff>
    </xdr:from>
    <xdr:to>
      <xdr:col>9</xdr:col>
      <xdr:colOff>654051</xdr:colOff>
      <xdr:row>29</xdr:row>
      <xdr:rowOff>88900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260350</xdr:colOff>
      <xdr:row>0</xdr:row>
      <xdr:rowOff>0</xdr:rowOff>
    </xdr:from>
    <xdr:to>
      <xdr:col>22</xdr:col>
      <xdr:colOff>422275</xdr:colOff>
      <xdr:row>31</xdr:row>
      <xdr:rowOff>133350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0</xdr:rowOff>
    </xdr:from>
    <xdr:to>
      <xdr:col>9</xdr:col>
      <xdr:colOff>654051</xdr:colOff>
      <xdr:row>29</xdr:row>
      <xdr:rowOff>88900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260350</xdr:colOff>
      <xdr:row>0</xdr:row>
      <xdr:rowOff>0</xdr:rowOff>
    </xdr:from>
    <xdr:to>
      <xdr:col>22</xdr:col>
      <xdr:colOff>422275</xdr:colOff>
      <xdr:row>31</xdr:row>
      <xdr:rowOff>133350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C650%20Data_PAL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bCh"/>
      <sheetName val="%R"/>
    </sheetNames>
    <sheetDataSet>
      <sheetData sheetId="0"/>
      <sheetData sheetId="1">
        <row r="39">
          <cell r="A39" t="str">
            <v>sample</v>
          </cell>
          <cell r="B39" t="str">
            <v xml:space="preserve">ToyotaBlend2B1           </v>
          </cell>
          <cell r="C39" t="str">
            <v xml:space="preserve">ToyotaBlend2B2           </v>
          </cell>
          <cell r="D39" t="str">
            <v xml:space="preserve">ToyotaBlend2-2B1         </v>
          </cell>
          <cell r="E39" t="str">
            <v xml:space="preserve">ToyotaBlend2-2B2         </v>
          </cell>
          <cell r="F39" t="str">
            <v xml:space="preserve">TB2-B2SG092313-B1        </v>
          </cell>
          <cell r="G39" t="str">
            <v xml:space="preserve">TB2-B2SG092313-B2        </v>
          </cell>
          <cell r="H39" t="str">
            <v xml:space="preserve">3339z-B1                 </v>
          </cell>
          <cell r="I39" t="str">
            <v xml:space="preserve">3339z-B2                 </v>
          </cell>
          <cell r="J39"/>
        </row>
        <row r="40">
          <cell r="A40" t="str">
            <v>L*</v>
          </cell>
          <cell r="B40">
            <v>50.89</v>
          </cell>
          <cell r="C40">
            <v>50.9</v>
          </cell>
          <cell r="D40">
            <v>50.96</v>
          </cell>
          <cell r="E40">
            <v>51.19</v>
          </cell>
          <cell r="F40">
            <v>50.47</v>
          </cell>
          <cell r="G40">
            <v>50.6</v>
          </cell>
          <cell r="H40">
            <v>62.68</v>
          </cell>
          <cell r="I40">
            <v>62.59</v>
          </cell>
          <cell r="J40"/>
        </row>
        <row r="41">
          <cell r="A41" t="str">
            <v>a*</v>
          </cell>
          <cell r="B41">
            <v>-2.17</v>
          </cell>
          <cell r="C41">
            <v>-2.14</v>
          </cell>
          <cell r="D41">
            <v>-2.0499999999999998</v>
          </cell>
          <cell r="E41">
            <v>-2.1800000000000002</v>
          </cell>
          <cell r="F41">
            <v>-0.28999999999999998</v>
          </cell>
          <cell r="G41">
            <v>-0.31</v>
          </cell>
          <cell r="H41">
            <v>19.07</v>
          </cell>
          <cell r="I41">
            <v>19</v>
          </cell>
          <cell r="J41"/>
        </row>
        <row r="42">
          <cell r="A42" t="str">
            <v>b*</v>
          </cell>
          <cell r="B42">
            <v>-36.6</v>
          </cell>
          <cell r="C42">
            <v>-36.479999999999997</v>
          </cell>
          <cell r="D42">
            <v>-35.93</v>
          </cell>
          <cell r="E42">
            <v>-37.18</v>
          </cell>
          <cell r="F42">
            <v>-38.51</v>
          </cell>
          <cell r="G42">
            <v>-38.67</v>
          </cell>
          <cell r="H42">
            <v>45.13</v>
          </cell>
          <cell r="I42">
            <v>45.14</v>
          </cell>
          <cell r="J42"/>
        </row>
        <row r="43">
          <cell r="A43" t="str">
            <v>C*</v>
          </cell>
          <cell r="B43">
            <v>36.659999999999997</v>
          </cell>
          <cell r="C43">
            <v>36.54</v>
          </cell>
          <cell r="D43">
            <v>35.99</v>
          </cell>
          <cell r="E43">
            <v>37.24</v>
          </cell>
          <cell r="F43">
            <v>38.51</v>
          </cell>
          <cell r="G43">
            <v>38.67</v>
          </cell>
          <cell r="H43">
            <v>48.99</v>
          </cell>
          <cell r="I43">
            <v>48.98</v>
          </cell>
          <cell r="J43"/>
        </row>
        <row r="44">
          <cell r="A44" t="str">
            <v>h</v>
          </cell>
          <cell r="B44">
            <v>266.61</v>
          </cell>
          <cell r="C44">
            <v>266.64</v>
          </cell>
          <cell r="D44">
            <v>266.74</v>
          </cell>
          <cell r="E44">
            <v>266.64999999999998</v>
          </cell>
          <cell r="F44">
            <v>269.57</v>
          </cell>
          <cell r="G44">
            <v>269.54000000000002</v>
          </cell>
          <cell r="H44">
            <v>67.09</v>
          </cell>
          <cell r="I44">
            <v>67.17</v>
          </cell>
          <cell r="J44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E3:L16"/>
  <sheetViews>
    <sheetView tabSelected="1" workbookViewId="0">
      <selection activeCell="L4" sqref="L4"/>
    </sheetView>
  </sheetViews>
  <sheetFormatPr defaultRowHeight="12.5" x14ac:dyDescent="0.25"/>
  <sheetData>
    <row r="3" spans="5:12" x14ac:dyDescent="0.25">
      <c r="E3" s="15" t="s">
        <v>14</v>
      </c>
      <c r="L3" t="s">
        <v>27</v>
      </c>
    </row>
    <row r="5" spans="5:12" ht="14.5" x14ac:dyDescent="0.35">
      <c r="E5" s="23" t="s">
        <v>24</v>
      </c>
      <c r="F5" s="23"/>
      <c r="G5" s="23"/>
      <c r="H5" s="23"/>
      <c r="I5" s="23"/>
      <c r="J5" s="23"/>
    </row>
    <row r="7" spans="5:12" ht="14.5" x14ac:dyDescent="0.35">
      <c r="E7" s="23" t="s">
        <v>25</v>
      </c>
      <c r="F7" s="23"/>
      <c r="G7" s="23"/>
      <c r="H7" s="23"/>
      <c r="I7" s="23"/>
      <c r="J7" s="23"/>
      <c r="K7" s="23"/>
      <c r="L7" s="23"/>
    </row>
    <row r="9" spans="5:12" x14ac:dyDescent="0.25">
      <c r="E9" s="15" t="s">
        <v>15</v>
      </c>
    </row>
    <row r="10" spans="5:12" x14ac:dyDescent="0.25">
      <c r="E10" s="15"/>
    </row>
    <row r="11" spans="5:12" x14ac:dyDescent="0.25">
      <c r="E11" s="24" t="s">
        <v>20</v>
      </c>
      <c r="F11" s="15" t="s">
        <v>16</v>
      </c>
    </row>
    <row r="12" spans="5:12" x14ac:dyDescent="0.25">
      <c r="E12" s="24" t="s">
        <v>21</v>
      </c>
      <c r="F12" s="15" t="s">
        <v>17</v>
      </c>
    </row>
    <row r="13" spans="5:12" x14ac:dyDescent="0.25">
      <c r="E13" s="24" t="s">
        <v>22</v>
      </c>
      <c r="F13" s="15" t="s">
        <v>18</v>
      </c>
    </row>
    <row r="14" spans="5:12" x14ac:dyDescent="0.25">
      <c r="E14" s="24" t="s">
        <v>23</v>
      </c>
      <c r="F14" s="15" t="s">
        <v>19</v>
      </c>
    </row>
    <row r="16" spans="5:12" ht="14.5" x14ac:dyDescent="0.35">
      <c r="E16" s="35" t="s">
        <v>26</v>
      </c>
      <c r="F16" s="36"/>
      <c r="G16" s="36"/>
      <c r="H16" s="36"/>
      <c r="I16" s="36"/>
      <c r="J16" s="36"/>
      <c r="K16" s="36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_Prog">
                <anchor moveWithCells="1" sizeWithCells="1">
                  <from>
                    <xdr:col>1</xdr:col>
                    <xdr:colOff>107950</xdr:colOff>
                    <xdr:row>2</xdr:row>
                    <xdr:rowOff>0</xdr:rowOff>
                  </from>
                  <to>
                    <xdr:col>2</xdr:col>
                    <xdr:colOff>558800</xdr:colOff>
                    <xdr:row>5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78"/>
  <sheetViews>
    <sheetView workbookViewId="0">
      <selection activeCell="I18" sqref="I18"/>
    </sheetView>
  </sheetViews>
  <sheetFormatPr defaultRowHeight="12.5" x14ac:dyDescent="0.25"/>
  <sheetData>
    <row r="1" spans="1:5" x14ac:dyDescent="0.25">
      <c r="A1" s="21"/>
      <c r="B1" s="21"/>
      <c r="C1" s="21"/>
      <c r="D1" s="21"/>
      <c r="E1" s="21"/>
    </row>
    <row r="2" spans="1:5" x14ac:dyDescent="0.25">
      <c r="A2" s="21"/>
      <c r="B2" s="21"/>
      <c r="C2" s="21"/>
      <c r="D2" s="21"/>
      <c r="E2" s="21"/>
    </row>
    <row r="3" spans="1:5" x14ac:dyDescent="0.25">
      <c r="A3" s="21"/>
      <c r="B3" s="21"/>
      <c r="C3" s="21"/>
      <c r="D3" s="21"/>
      <c r="E3" s="21"/>
    </row>
    <row r="19" spans="1:6" x14ac:dyDescent="0.25">
      <c r="A19" s="22"/>
      <c r="B19" s="1"/>
      <c r="C19" s="1"/>
      <c r="D19" s="1"/>
      <c r="E19" s="1"/>
      <c r="F19" s="1"/>
    </row>
    <row r="20" spans="1:6" x14ac:dyDescent="0.25">
      <c r="A20" s="22"/>
      <c r="B20" s="1"/>
      <c r="C20" s="1"/>
      <c r="D20" s="1"/>
      <c r="E20" s="1"/>
      <c r="F20" s="1"/>
    </row>
    <row r="21" spans="1:6" x14ac:dyDescent="0.25">
      <c r="A21" s="22"/>
      <c r="B21" s="1"/>
      <c r="C21" s="1"/>
      <c r="D21" s="1"/>
      <c r="E21" s="1"/>
      <c r="F21" s="1"/>
    </row>
    <row r="22" spans="1:6" x14ac:dyDescent="0.25">
      <c r="A22" s="22"/>
      <c r="B22" s="1"/>
      <c r="C22" s="1"/>
      <c r="D22" s="1"/>
      <c r="E22" s="1"/>
      <c r="F22" s="1"/>
    </row>
    <row r="23" spans="1:6" x14ac:dyDescent="0.25">
      <c r="A23" s="22"/>
      <c r="B23" s="1"/>
      <c r="C23" s="1"/>
      <c r="D23" s="1"/>
      <c r="E23" s="1"/>
      <c r="F23" s="1"/>
    </row>
    <row r="24" spans="1:6" x14ac:dyDescent="0.25">
      <c r="A24" s="22"/>
      <c r="B24" s="1"/>
      <c r="C24" s="1"/>
      <c r="D24" s="1"/>
      <c r="E24" s="1"/>
      <c r="F24" s="1"/>
    </row>
    <row r="25" spans="1:6" x14ac:dyDescent="0.25">
      <c r="A25" s="22"/>
      <c r="B25" s="1"/>
      <c r="C25" s="1"/>
      <c r="D25" s="1"/>
      <c r="E25" s="1"/>
      <c r="F25" s="1"/>
    </row>
    <row r="26" spans="1:6" x14ac:dyDescent="0.25">
      <c r="A26" s="22"/>
      <c r="B26" s="1"/>
      <c r="C26" s="1"/>
      <c r="D26" s="1"/>
      <c r="E26" s="1"/>
      <c r="F26" s="1"/>
    </row>
    <row r="27" spans="1:6" x14ac:dyDescent="0.25">
      <c r="A27" s="22"/>
      <c r="B27" s="1"/>
      <c r="C27" s="1"/>
      <c r="D27" s="1"/>
      <c r="E27" s="1"/>
      <c r="F27" s="1"/>
    </row>
    <row r="28" spans="1:6" x14ac:dyDescent="0.25">
      <c r="A28" s="22"/>
      <c r="B28" s="1"/>
      <c r="C28" s="1"/>
      <c r="D28" s="1"/>
      <c r="E28" s="1"/>
      <c r="F28" s="1"/>
    </row>
    <row r="29" spans="1:6" x14ac:dyDescent="0.25">
      <c r="A29" s="22"/>
      <c r="B29" s="1"/>
      <c r="C29" s="1"/>
      <c r="D29" s="1"/>
      <c r="E29" s="1"/>
      <c r="F29" s="1"/>
    </row>
    <row r="30" spans="1:6" x14ac:dyDescent="0.25">
      <c r="A30" s="22"/>
      <c r="B30" s="1"/>
      <c r="C30" s="1"/>
      <c r="D30" s="1"/>
      <c r="E30" s="1"/>
      <c r="F30" s="1"/>
    </row>
    <row r="31" spans="1:6" x14ac:dyDescent="0.25">
      <c r="A31" s="22"/>
      <c r="B31" s="1"/>
      <c r="C31" s="1"/>
      <c r="D31" s="1"/>
      <c r="E31" s="1"/>
      <c r="F31" s="1"/>
    </row>
    <row r="32" spans="1:6" x14ac:dyDescent="0.25">
      <c r="A32" s="22"/>
      <c r="B32" s="1"/>
      <c r="C32" s="1"/>
      <c r="D32" s="1"/>
      <c r="E32" s="1"/>
      <c r="F32" s="1"/>
    </row>
    <row r="33" spans="1:6" x14ac:dyDescent="0.25">
      <c r="A33" s="22"/>
      <c r="B33" s="1"/>
      <c r="C33" s="1"/>
      <c r="D33" s="1"/>
      <c r="E33" s="1"/>
      <c r="F33" s="1"/>
    </row>
    <row r="34" spans="1:6" x14ac:dyDescent="0.25">
      <c r="A34" s="22"/>
      <c r="B34" s="1"/>
      <c r="C34" s="1"/>
      <c r="D34" s="1"/>
      <c r="E34" s="1"/>
      <c r="F34" s="1"/>
    </row>
    <row r="35" spans="1:6" x14ac:dyDescent="0.25">
      <c r="A35" s="22"/>
      <c r="B35" s="1"/>
      <c r="C35" s="1"/>
      <c r="D35" s="1"/>
      <c r="E35" s="1"/>
      <c r="F35" s="1"/>
    </row>
    <row r="36" spans="1:6" x14ac:dyDescent="0.25">
      <c r="A36" s="22"/>
      <c r="B36" s="1"/>
      <c r="C36" s="1"/>
      <c r="D36" s="1"/>
      <c r="E36" s="1"/>
      <c r="F36" s="1"/>
    </row>
    <row r="37" spans="1:6" x14ac:dyDescent="0.25">
      <c r="A37" s="22"/>
      <c r="B37" s="1"/>
      <c r="C37" s="1"/>
      <c r="D37" s="1"/>
      <c r="E37" s="1"/>
      <c r="F37" s="1"/>
    </row>
    <row r="38" spans="1:6" x14ac:dyDescent="0.25">
      <c r="A38" s="22"/>
      <c r="B38" s="1"/>
      <c r="C38" s="1"/>
      <c r="D38" s="1"/>
      <c r="E38" s="1"/>
      <c r="F38" s="1"/>
    </row>
    <row r="39" spans="1:6" x14ac:dyDescent="0.25">
      <c r="A39" s="22"/>
      <c r="B39" s="1"/>
      <c r="C39" s="1"/>
      <c r="D39" s="1"/>
      <c r="E39" s="1"/>
      <c r="F39" s="1"/>
    </row>
    <row r="40" spans="1:6" x14ac:dyDescent="0.25">
      <c r="A40" s="22"/>
      <c r="B40" s="1"/>
      <c r="C40" s="1"/>
      <c r="D40" s="1"/>
      <c r="E40" s="1"/>
      <c r="F40" s="1"/>
    </row>
    <row r="41" spans="1:6" x14ac:dyDescent="0.25">
      <c r="A41" s="22"/>
      <c r="B41" s="1"/>
      <c r="C41" s="1"/>
      <c r="D41" s="1"/>
      <c r="E41" s="1"/>
      <c r="F41" s="1"/>
    </row>
    <row r="42" spans="1:6" x14ac:dyDescent="0.25">
      <c r="A42" s="22"/>
      <c r="B42" s="1"/>
      <c r="C42" s="1"/>
      <c r="D42" s="1"/>
      <c r="E42" s="1"/>
      <c r="F42" s="1"/>
    </row>
    <row r="43" spans="1:6" x14ac:dyDescent="0.25">
      <c r="A43" s="22"/>
      <c r="B43" s="1"/>
      <c r="C43" s="1"/>
      <c r="D43" s="1"/>
      <c r="E43" s="1"/>
      <c r="F43" s="1"/>
    </row>
    <row r="44" spans="1:6" x14ac:dyDescent="0.25">
      <c r="A44" s="22"/>
      <c r="B44" s="1"/>
      <c r="C44" s="1"/>
      <c r="D44" s="1"/>
      <c r="E44" s="1"/>
      <c r="F44" s="1"/>
    </row>
    <row r="45" spans="1:6" x14ac:dyDescent="0.25">
      <c r="A45" s="22"/>
      <c r="B45" s="1"/>
      <c r="C45" s="1"/>
      <c r="D45" s="1"/>
      <c r="E45" s="1"/>
      <c r="F45" s="1"/>
    </row>
    <row r="46" spans="1:6" x14ac:dyDescent="0.25">
      <c r="A46" s="22"/>
      <c r="B46" s="1"/>
      <c r="C46" s="1"/>
      <c r="D46" s="1"/>
      <c r="E46" s="1"/>
      <c r="F46" s="1"/>
    </row>
    <row r="47" spans="1:6" x14ac:dyDescent="0.25">
      <c r="A47" s="22"/>
      <c r="B47" s="1"/>
      <c r="C47" s="1"/>
      <c r="D47" s="1"/>
      <c r="E47" s="1"/>
      <c r="F47" s="1"/>
    </row>
    <row r="48" spans="1:6" x14ac:dyDescent="0.25">
      <c r="A48" s="22"/>
      <c r="B48" s="1"/>
      <c r="C48" s="1"/>
      <c r="D48" s="1"/>
      <c r="E48" s="1"/>
      <c r="F48" s="1"/>
    </row>
    <row r="49" spans="1:6" x14ac:dyDescent="0.25">
      <c r="A49" s="22"/>
      <c r="B49" s="1"/>
      <c r="C49" s="1"/>
      <c r="D49" s="1"/>
      <c r="E49" s="1"/>
      <c r="F49" s="1"/>
    </row>
    <row r="50" spans="1:6" x14ac:dyDescent="0.25">
      <c r="A50" s="22"/>
      <c r="B50" s="1"/>
      <c r="C50" s="1"/>
      <c r="D50" s="1"/>
      <c r="E50" s="1"/>
      <c r="F50" s="1"/>
    </row>
    <row r="51" spans="1:6" x14ac:dyDescent="0.25">
      <c r="A51" s="22"/>
      <c r="B51" s="1"/>
      <c r="C51" s="1"/>
      <c r="D51" s="1"/>
      <c r="E51" s="1"/>
      <c r="F51" s="1"/>
    </row>
    <row r="52" spans="1:6" x14ac:dyDescent="0.25">
      <c r="A52" s="22"/>
      <c r="B52" s="1"/>
      <c r="C52" s="1"/>
      <c r="D52" s="1"/>
      <c r="E52" s="1"/>
      <c r="F52" s="1"/>
    </row>
    <row r="53" spans="1:6" x14ac:dyDescent="0.25">
      <c r="A53" s="22"/>
      <c r="B53" s="1"/>
      <c r="C53" s="1"/>
      <c r="D53" s="1"/>
      <c r="E53" s="1"/>
      <c r="F53" s="1"/>
    </row>
    <row r="54" spans="1:6" x14ac:dyDescent="0.25">
      <c r="A54" s="22"/>
      <c r="B54" s="1"/>
      <c r="C54" s="1"/>
      <c r="D54" s="1"/>
      <c r="E54" s="1"/>
      <c r="F54" s="1"/>
    </row>
    <row r="55" spans="1:6" x14ac:dyDescent="0.25">
      <c r="A55" s="22"/>
      <c r="B55" s="1"/>
      <c r="C55" s="1"/>
      <c r="D55" s="1"/>
      <c r="E55" s="1"/>
      <c r="F55" s="1"/>
    </row>
    <row r="56" spans="1:6" x14ac:dyDescent="0.25">
      <c r="A56" s="22"/>
      <c r="B56" s="1"/>
      <c r="C56" s="1"/>
      <c r="D56" s="1"/>
      <c r="E56" s="1"/>
      <c r="F56" s="1"/>
    </row>
    <row r="57" spans="1:6" x14ac:dyDescent="0.25">
      <c r="A57" s="22"/>
      <c r="B57" s="1"/>
      <c r="C57" s="1"/>
      <c r="D57" s="1"/>
      <c r="E57" s="1"/>
      <c r="F57" s="1"/>
    </row>
    <row r="58" spans="1:6" x14ac:dyDescent="0.25">
      <c r="A58" s="22"/>
      <c r="B58" s="1"/>
      <c r="C58" s="1"/>
      <c r="D58" s="1"/>
      <c r="E58" s="1"/>
      <c r="F58" s="1"/>
    </row>
    <row r="59" spans="1:6" x14ac:dyDescent="0.25">
      <c r="A59" s="22"/>
      <c r="B59" s="1"/>
      <c r="C59" s="1"/>
      <c r="D59" s="1"/>
      <c r="E59" s="1"/>
      <c r="F59" s="1"/>
    </row>
    <row r="60" spans="1:6" x14ac:dyDescent="0.25">
      <c r="A60" s="22"/>
      <c r="B60" s="1"/>
      <c r="C60" s="1"/>
      <c r="D60" s="1"/>
      <c r="E60" s="1"/>
      <c r="F60" s="1"/>
    </row>
    <row r="61" spans="1:6" x14ac:dyDescent="0.25">
      <c r="A61" s="22"/>
      <c r="B61" s="1"/>
      <c r="C61" s="1"/>
      <c r="D61" s="1"/>
      <c r="E61" s="1"/>
      <c r="F61" s="1"/>
    </row>
    <row r="62" spans="1:6" x14ac:dyDescent="0.25">
      <c r="A62" s="22"/>
      <c r="B62" s="1"/>
      <c r="C62" s="1"/>
      <c r="D62" s="1"/>
      <c r="E62" s="1"/>
      <c r="F62" s="1"/>
    </row>
    <row r="63" spans="1:6" x14ac:dyDescent="0.25">
      <c r="A63" s="22"/>
      <c r="B63" s="1"/>
      <c r="C63" s="1"/>
      <c r="D63" s="1"/>
      <c r="E63" s="1"/>
      <c r="F63" s="1"/>
    </row>
    <row r="64" spans="1:6" x14ac:dyDescent="0.25">
      <c r="A64" s="22"/>
      <c r="B64" s="1"/>
      <c r="C64" s="1"/>
      <c r="D64" s="1"/>
      <c r="E64" s="1"/>
      <c r="F64" s="1"/>
    </row>
    <row r="65" spans="1:6" x14ac:dyDescent="0.25">
      <c r="A65" s="22"/>
      <c r="B65" s="1"/>
      <c r="C65" s="1"/>
      <c r="D65" s="1"/>
      <c r="E65" s="1"/>
      <c r="F65" s="1"/>
    </row>
    <row r="66" spans="1:6" x14ac:dyDescent="0.25">
      <c r="A66" s="22"/>
      <c r="B66" s="1"/>
      <c r="C66" s="1"/>
      <c r="D66" s="1"/>
      <c r="E66" s="1"/>
      <c r="F66" s="1"/>
    </row>
    <row r="67" spans="1:6" x14ac:dyDescent="0.25">
      <c r="A67" s="22"/>
      <c r="B67" s="1"/>
      <c r="C67" s="1"/>
      <c r="D67" s="1"/>
      <c r="E67" s="1"/>
      <c r="F67" s="1"/>
    </row>
    <row r="68" spans="1:6" x14ac:dyDescent="0.25">
      <c r="A68" s="22"/>
      <c r="B68" s="1"/>
      <c r="C68" s="1"/>
      <c r="D68" s="1"/>
      <c r="E68" s="1"/>
      <c r="F68" s="1"/>
    </row>
    <row r="69" spans="1:6" x14ac:dyDescent="0.25">
      <c r="A69" s="22"/>
      <c r="B69" s="1"/>
      <c r="C69" s="1"/>
      <c r="D69" s="1"/>
      <c r="E69" s="1"/>
      <c r="F69" s="1"/>
    </row>
    <row r="70" spans="1:6" x14ac:dyDescent="0.25">
      <c r="A70" s="22"/>
      <c r="B70" s="1"/>
      <c r="C70" s="1"/>
      <c r="D70" s="1"/>
      <c r="E70" s="1"/>
      <c r="F70" s="1"/>
    </row>
    <row r="71" spans="1:6" x14ac:dyDescent="0.25">
      <c r="A71" s="22"/>
      <c r="B71" s="1"/>
      <c r="C71" s="1"/>
      <c r="D71" s="1"/>
      <c r="E71" s="1"/>
      <c r="F71" s="1"/>
    </row>
    <row r="72" spans="1:6" x14ac:dyDescent="0.25">
      <c r="A72" s="22"/>
      <c r="B72" s="1"/>
      <c r="C72" s="1"/>
      <c r="D72" s="1"/>
      <c r="E72" s="1"/>
      <c r="F72" s="1"/>
    </row>
    <row r="73" spans="1:6" x14ac:dyDescent="0.25">
      <c r="A73" s="22"/>
      <c r="B73" s="1"/>
      <c r="C73" s="1"/>
      <c r="D73" s="1"/>
      <c r="E73" s="1"/>
      <c r="F73" s="1"/>
    </row>
    <row r="74" spans="1:6" ht="13" x14ac:dyDescent="0.3">
      <c r="A74" s="5"/>
      <c r="B74" s="1"/>
      <c r="C74" s="1"/>
      <c r="D74" s="1"/>
      <c r="E74" s="1"/>
      <c r="F74" s="1"/>
    </row>
    <row r="75" spans="1:6" ht="13" x14ac:dyDescent="0.3">
      <c r="A75" s="5"/>
      <c r="B75" s="1"/>
      <c r="C75" s="1"/>
      <c r="D75" s="1"/>
      <c r="E75" s="1"/>
      <c r="F75" s="1"/>
    </row>
    <row r="76" spans="1:6" ht="13" x14ac:dyDescent="0.3">
      <c r="A76" s="5"/>
      <c r="B76" s="1"/>
      <c r="C76" s="1"/>
      <c r="D76" s="1"/>
      <c r="E76" s="1"/>
      <c r="F76" s="1"/>
    </row>
    <row r="77" spans="1:6" ht="13" x14ac:dyDescent="0.3">
      <c r="A77" s="5"/>
      <c r="B77" s="1"/>
      <c r="C77" s="1"/>
      <c r="D77" s="1"/>
      <c r="E77" s="1"/>
      <c r="F77" s="1"/>
    </row>
    <row r="78" spans="1:6" ht="13.5" thickBot="1" x14ac:dyDescent="0.35">
      <c r="A78" s="3"/>
      <c r="B78" s="2"/>
      <c r="C78" s="2"/>
      <c r="D78" s="2"/>
      <c r="E78" s="2"/>
      <c r="F78" s="2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75082-B548-4912-A216-789BD0243881}">
  <sheetPr codeName="Sheet7"/>
  <dimension ref="A1:F342"/>
  <sheetViews>
    <sheetView workbookViewId="0">
      <selection activeCell="A3" sqref="A3:F100"/>
    </sheetView>
  </sheetViews>
  <sheetFormatPr defaultRowHeight="12.5" x14ac:dyDescent="0.25"/>
  <cols>
    <col min="1" max="1" width="19.7265625" style="26" customWidth="1"/>
  </cols>
  <sheetData>
    <row r="1" spans="1:6" ht="14" x14ac:dyDescent="0.3">
      <c r="A1" s="34" t="s">
        <v>0</v>
      </c>
      <c r="B1" s="34"/>
      <c r="C1" s="34"/>
      <c r="D1" s="34"/>
      <c r="E1" s="34"/>
      <c r="F1" s="34"/>
    </row>
    <row r="2" spans="1:6" ht="25" customHeight="1" thickBot="1" x14ac:dyDescent="0.35">
      <c r="A2" s="37" t="str">
        <f>INDEX('[1]%R'!$A$39:$J$44,COLUMN(A1),ROW(A1))</f>
        <v>sample</v>
      </c>
      <c r="B2" s="25" t="str">
        <f>INDEX('[1]%R'!$A$39:$J$44,COLUMN(B1),ROW(B1))</f>
        <v>L*</v>
      </c>
      <c r="C2" s="25" t="str">
        <f>INDEX('[1]%R'!$A$39:$J$44,COLUMN(C1),ROW(C1))</f>
        <v>a*</v>
      </c>
      <c r="D2" s="25" t="str">
        <f>INDEX('[1]%R'!$A$39:$J$44,COLUMN(D1),ROW(D1))</f>
        <v>b*</v>
      </c>
      <c r="E2" s="25" t="str">
        <f>INDEX('[1]%R'!$A$39:$J$44,COLUMN(E1),ROW(E1))</f>
        <v>C*</v>
      </c>
      <c r="F2" s="25" t="str">
        <f>INDEX('[1]%R'!$A$39:$J$44,COLUMN(F1),ROW(F1))</f>
        <v>h</v>
      </c>
    </row>
    <row r="3" spans="1:6" x14ac:dyDescent="0.25">
      <c r="A3"/>
      <c r="B3" s="27"/>
      <c r="C3" s="28"/>
      <c r="D3" s="28"/>
      <c r="E3" s="28"/>
      <c r="F3" s="29"/>
    </row>
    <row r="4" spans="1:6" x14ac:dyDescent="0.25">
      <c r="A4"/>
      <c r="B4" s="30"/>
      <c r="F4" s="31"/>
    </row>
    <row r="5" spans="1:6" x14ac:dyDescent="0.25">
      <c r="A5"/>
      <c r="B5" s="30"/>
      <c r="F5" s="31"/>
    </row>
    <row r="6" spans="1:6" x14ac:dyDescent="0.25">
      <c r="A6"/>
      <c r="B6" s="30"/>
      <c r="F6" s="31"/>
    </row>
    <row r="7" spans="1:6" x14ac:dyDescent="0.25">
      <c r="A7"/>
      <c r="B7" s="30"/>
      <c r="F7" s="31"/>
    </row>
    <row r="8" spans="1:6" x14ac:dyDescent="0.25">
      <c r="A8"/>
      <c r="B8" s="30"/>
      <c r="F8" s="31"/>
    </row>
    <row r="9" spans="1:6" x14ac:dyDescent="0.25">
      <c r="A9"/>
      <c r="B9" s="30"/>
      <c r="F9" s="31"/>
    </row>
    <row r="10" spans="1:6" x14ac:dyDescent="0.25">
      <c r="A10"/>
      <c r="B10" s="30"/>
      <c r="F10" s="31"/>
    </row>
    <row r="11" spans="1:6" x14ac:dyDescent="0.25">
      <c r="A11"/>
      <c r="B11" s="30"/>
      <c r="F11" s="31"/>
    </row>
    <row r="12" spans="1:6" x14ac:dyDescent="0.25">
      <c r="A12"/>
      <c r="B12" s="30"/>
      <c r="F12" s="31"/>
    </row>
    <row r="13" spans="1:6" x14ac:dyDescent="0.25">
      <c r="A13"/>
      <c r="B13" s="30"/>
      <c r="F13" s="31"/>
    </row>
    <row r="14" spans="1:6" x14ac:dyDescent="0.25">
      <c r="A14"/>
      <c r="B14" s="30"/>
      <c r="F14" s="31"/>
    </row>
    <row r="15" spans="1:6" x14ac:dyDescent="0.25">
      <c r="A15"/>
      <c r="B15" s="30"/>
      <c r="F15" s="31"/>
    </row>
    <row r="16" spans="1:6" x14ac:dyDescent="0.25">
      <c r="A16"/>
      <c r="B16" s="30"/>
      <c r="F16" s="31"/>
    </row>
    <row r="17" spans="1:6" x14ac:dyDescent="0.25">
      <c r="A17"/>
      <c r="B17" s="30"/>
      <c r="F17" s="31"/>
    </row>
    <row r="18" spans="1:6" x14ac:dyDescent="0.25">
      <c r="A18"/>
      <c r="B18" s="30"/>
      <c r="F18" s="31"/>
    </row>
    <row r="19" spans="1:6" x14ac:dyDescent="0.25">
      <c r="A19"/>
      <c r="B19" s="30"/>
      <c r="F19" s="31"/>
    </row>
    <row r="20" spans="1:6" x14ac:dyDescent="0.25">
      <c r="A20"/>
      <c r="B20" s="30"/>
      <c r="F20" s="31"/>
    </row>
    <row r="21" spans="1:6" x14ac:dyDescent="0.25">
      <c r="A21"/>
      <c r="B21" s="30"/>
      <c r="F21" s="31"/>
    </row>
    <row r="22" spans="1:6" x14ac:dyDescent="0.25">
      <c r="A22"/>
      <c r="B22" s="30"/>
      <c r="F22" s="31"/>
    </row>
    <row r="23" spans="1:6" x14ac:dyDescent="0.25">
      <c r="A23"/>
      <c r="B23" s="30"/>
      <c r="F23" s="31"/>
    </row>
    <row r="24" spans="1:6" x14ac:dyDescent="0.25">
      <c r="A24"/>
      <c r="B24" s="30"/>
      <c r="F24" s="31"/>
    </row>
    <row r="25" spans="1:6" x14ac:dyDescent="0.25">
      <c r="A25"/>
      <c r="B25" s="30"/>
      <c r="F25" s="31"/>
    </row>
    <row r="26" spans="1:6" x14ac:dyDescent="0.25">
      <c r="A26"/>
      <c r="B26" s="30"/>
      <c r="F26" s="31"/>
    </row>
    <row r="27" spans="1:6" x14ac:dyDescent="0.25">
      <c r="A27"/>
      <c r="B27" s="30"/>
      <c r="F27" s="31"/>
    </row>
    <row r="28" spans="1:6" x14ac:dyDescent="0.25">
      <c r="A28"/>
      <c r="B28" s="30"/>
      <c r="F28" s="31"/>
    </row>
    <row r="29" spans="1:6" x14ac:dyDescent="0.25">
      <c r="A29"/>
      <c r="B29" s="30"/>
      <c r="F29" s="31"/>
    </row>
    <row r="30" spans="1:6" x14ac:dyDescent="0.25">
      <c r="A30"/>
      <c r="B30" s="30"/>
      <c r="F30" s="31"/>
    </row>
    <row r="31" spans="1:6" x14ac:dyDescent="0.25">
      <c r="A31"/>
      <c r="B31" s="30"/>
      <c r="F31" s="31"/>
    </row>
    <row r="32" spans="1:6" x14ac:dyDescent="0.25">
      <c r="A32"/>
      <c r="B32" s="30"/>
      <c r="F32" s="31"/>
    </row>
    <row r="33" spans="1:6" x14ac:dyDescent="0.25">
      <c r="A33"/>
      <c r="B33" s="30"/>
      <c r="F33" s="31"/>
    </row>
    <row r="34" spans="1:6" x14ac:dyDescent="0.25">
      <c r="A34"/>
      <c r="B34" s="30"/>
      <c r="F34" s="31"/>
    </row>
    <row r="35" spans="1:6" x14ac:dyDescent="0.25">
      <c r="A35"/>
      <c r="B35" s="30"/>
      <c r="F35" s="31"/>
    </row>
    <row r="36" spans="1:6" x14ac:dyDescent="0.25">
      <c r="A36"/>
      <c r="B36" s="30"/>
      <c r="F36" s="31"/>
    </row>
    <row r="37" spans="1:6" x14ac:dyDescent="0.25">
      <c r="A37"/>
      <c r="B37" s="30"/>
      <c r="F37" s="31"/>
    </row>
    <row r="38" spans="1:6" x14ac:dyDescent="0.25">
      <c r="A38"/>
      <c r="B38" s="30"/>
      <c r="F38" s="31"/>
    </row>
    <row r="39" spans="1:6" x14ac:dyDescent="0.25">
      <c r="A39"/>
      <c r="B39" s="30"/>
      <c r="F39" s="31"/>
    </row>
    <row r="40" spans="1:6" x14ac:dyDescent="0.25">
      <c r="A40"/>
      <c r="B40" s="30"/>
      <c r="F40" s="31"/>
    </row>
    <row r="41" spans="1:6" x14ac:dyDescent="0.25">
      <c r="A41"/>
      <c r="B41" s="30"/>
      <c r="F41" s="31"/>
    </row>
    <row r="42" spans="1:6" x14ac:dyDescent="0.25">
      <c r="A42"/>
      <c r="B42" s="30"/>
      <c r="F42" s="31"/>
    </row>
    <row r="43" spans="1:6" x14ac:dyDescent="0.25">
      <c r="A43"/>
      <c r="B43" s="30"/>
      <c r="F43" s="31"/>
    </row>
    <row r="44" spans="1:6" x14ac:dyDescent="0.25">
      <c r="A44"/>
      <c r="B44" s="30"/>
      <c r="F44" s="31"/>
    </row>
    <row r="45" spans="1:6" x14ac:dyDescent="0.25">
      <c r="A45"/>
      <c r="B45" s="30"/>
      <c r="F45" s="31"/>
    </row>
    <row r="46" spans="1:6" x14ac:dyDescent="0.25">
      <c r="A46"/>
      <c r="B46" s="30"/>
      <c r="F46" s="31"/>
    </row>
    <row r="47" spans="1:6" x14ac:dyDescent="0.25">
      <c r="A47"/>
      <c r="B47" s="30"/>
      <c r="F47" s="31"/>
    </row>
    <row r="48" spans="1:6" x14ac:dyDescent="0.25">
      <c r="A48"/>
      <c r="B48" s="30"/>
      <c r="F48" s="31"/>
    </row>
    <row r="49" spans="1:6" x14ac:dyDescent="0.25">
      <c r="A49"/>
      <c r="B49" s="30"/>
      <c r="F49" s="31"/>
    </row>
    <row r="50" spans="1:6" x14ac:dyDescent="0.25">
      <c r="A50"/>
      <c r="B50" s="30"/>
      <c r="F50" s="31"/>
    </row>
    <row r="51" spans="1:6" x14ac:dyDescent="0.25">
      <c r="A51"/>
      <c r="B51" s="30"/>
      <c r="F51" s="31"/>
    </row>
    <row r="52" spans="1:6" x14ac:dyDescent="0.25">
      <c r="A52"/>
      <c r="B52" s="30"/>
      <c r="F52" s="31"/>
    </row>
    <row r="53" spans="1:6" x14ac:dyDescent="0.25">
      <c r="A53"/>
      <c r="B53" s="30"/>
      <c r="F53" s="31"/>
    </row>
    <row r="54" spans="1:6" x14ac:dyDescent="0.25">
      <c r="A54"/>
      <c r="B54" s="30"/>
      <c r="F54" s="31"/>
    </row>
    <row r="55" spans="1:6" x14ac:dyDescent="0.25">
      <c r="A55"/>
      <c r="B55" s="30"/>
      <c r="F55" s="31"/>
    </row>
    <row r="56" spans="1:6" x14ac:dyDescent="0.25">
      <c r="A56"/>
      <c r="B56" s="30"/>
      <c r="F56" s="31"/>
    </row>
    <row r="57" spans="1:6" x14ac:dyDescent="0.25">
      <c r="A57"/>
      <c r="B57" s="30"/>
      <c r="F57" s="31"/>
    </row>
    <row r="58" spans="1:6" x14ac:dyDescent="0.25">
      <c r="A58"/>
      <c r="B58" s="30"/>
      <c r="F58" s="31"/>
    </row>
    <row r="59" spans="1:6" x14ac:dyDescent="0.25">
      <c r="A59"/>
      <c r="B59" s="30"/>
      <c r="F59" s="31"/>
    </row>
    <row r="60" spans="1:6" x14ac:dyDescent="0.25">
      <c r="A60"/>
      <c r="B60" s="30"/>
      <c r="F60" s="31"/>
    </row>
    <row r="61" spans="1:6" x14ac:dyDescent="0.25">
      <c r="A61"/>
      <c r="B61" s="30"/>
      <c r="F61" s="31"/>
    </row>
    <row r="62" spans="1:6" x14ac:dyDescent="0.25">
      <c r="A62"/>
      <c r="B62" s="30"/>
      <c r="F62" s="31"/>
    </row>
    <row r="63" spans="1:6" x14ac:dyDescent="0.25">
      <c r="A63"/>
      <c r="B63" s="30"/>
      <c r="F63" s="31"/>
    </row>
    <row r="64" spans="1:6" x14ac:dyDescent="0.25">
      <c r="A64"/>
      <c r="B64" s="30"/>
      <c r="F64" s="31"/>
    </row>
    <row r="65" spans="1:6" x14ac:dyDescent="0.25">
      <c r="A65"/>
      <c r="B65" s="30"/>
      <c r="F65" s="31"/>
    </row>
    <row r="66" spans="1:6" x14ac:dyDescent="0.25">
      <c r="A66"/>
      <c r="B66" s="30"/>
      <c r="F66" s="31"/>
    </row>
    <row r="67" spans="1:6" x14ac:dyDescent="0.25">
      <c r="A67"/>
      <c r="B67" s="30"/>
      <c r="F67" s="31"/>
    </row>
    <row r="68" spans="1:6" x14ac:dyDescent="0.25">
      <c r="A68"/>
      <c r="B68" s="30"/>
      <c r="F68" s="31"/>
    </row>
    <row r="69" spans="1:6" x14ac:dyDescent="0.25">
      <c r="A69"/>
      <c r="B69" s="30"/>
      <c r="F69" s="31"/>
    </row>
    <row r="70" spans="1:6" x14ac:dyDescent="0.25">
      <c r="A70"/>
      <c r="B70" s="30"/>
      <c r="F70" s="31"/>
    </row>
    <row r="71" spans="1:6" x14ac:dyDescent="0.25">
      <c r="A71"/>
      <c r="B71" s="30"/>
      <c r="F71" s="31"/>
    </row>
    <row r="72" spans="1:6" x14ac:dyDescent="0.25">
      <c r="A72"/>
      <c r="B72" s="30"/>
      <c r="F72" s="31"/>
    </row>
    <row r="73" spans="1:6" x14ac:dyDescent="0.25">
      <c r="A73"/>
      <c r="B73" s="30"/>
      <c r="F73" s="31"/>
    </row>
    <row r="74" spans="1:6" x14ac:dyDescent="0.25">
      <c r="A74"/>
      <c r="B74" s="30"/>
      <c r="F74" s="31"/>
    </row>
    <row r="75" spans="1:6" x14ac:dyDescent="0.25">
      <c r="A75"/>
      <c r="B75" s="30"/>
      <c r="F75" s="31"/>
    </row>
    <row r="76" spans="1:6" x14ac:dyDescent="0.25">
      <c r="A76"/>
      <c r="B76" s="30"/>
      <c r="F76" s="31"/>
    </row>
    <row r="77" spans="1:6" x14ac:dyDescent="0.25">
      <c r="A77"/>
      <c r="B77" s="30"/>
      <c r="F77" s="31"/>
    </row>
    <row r="78" spans="1:6" x14ac:dyDescent="0.25">
      <c r="A78"/>
      <c r="B78" s="30"/>
      <c r="F78" s="31"/>
    </row>
    <row r="79" spans="1:6" x14ac:dyDescent="0.25">
      <c r="A79"/>
      <c r="B79" s="30"/>
      <c r="F79" s="31"/>
    </row>
    <row r="80" spans="1:6" x14ac:dyDescent="0.25">
      <c r="A80"/>
      <c r="B80" s="30"/>
      <c r="F80" s="31"/>
    </row>
    <row r="81" spans="1:6" x14ac:dyDescent="0.25">
      <c r="A81"/>
      <c r="B81" s="30"/>
      <c r="F81" s="31"/>
    </row>
    <row r="82" spans="1:6" x14ac:dyDescent="0.25">
      <c r="A82"/>
      <c r="B82" s="30"/>
      <c r="F82" s="31"/>
    </row>
    <row r="83" spans="1:6" x14ac:dyDescent="0.25">
      <c r="A83"/>
      <c r="B83" s="30"/>
      <c r="F83" s="31"/>
    </row>
    <row r="84" spans="1:6" x14ac:dyDescent="0.25">
      <c r="A84"/>
      <c r="B84" s="30"/>
      <c r="F84" s="31"/>
    </row>
    <row r="85" spans="1:6" x14ac:dyDescent="0.25">
      <c r="A85"/>
      <c r="B85" s="30"/>
      <c r="F85" s="31"/>
    </row>
    <row r="86" spans="1:6" x14ac:dyDescent="0.25">
      <c r="A86"/>
      <c r="B86" s="30"/>
      <c r="F86" s="31"/>
    </row>
    <row r="87" spans="1:6" x14ac:dyDescent="0.25">
      <c r="A87"/>
      <c r="B87" s="30"/>
      <c r="F87" s="31"/>
    </row>
    <row r="88" spans="1:6" x14ac:dyDescent="0.25">
      <c r="A88"/>
      <c r="B88" s="30"/>
      <c r="F88" s="31"/>
    </row>
    <row r="89" spans="1:6" x14ac:dyDescent="0.25">
      <c r="A89"/>
      <c r="B89" s="30"/>
      <c r="F89" s="31"/>
    </row>
    <row r="90" spans="1:6" x14ac:dyDescent="0.25">
      <c r="A90"/>
      <c r="B90" s="30"/>
      <c r="F90" s="31"/>
    </row>
    <row r="91" spans="1:6" x14ac:dyDescent="0.25">
      <c r="A91"/>
      <c r="B91" s="30"/>
      <c r="F91" s="31"/>
    </row>
    <row r="92" spans="1:6" x14ac:dyDescent="0.25">
      <c r="A92"/>
      <c r="B92" s="30"/>
      <c r="F92" s="31"/>
    </row>
    <row r="93" spans="1:6" x14ac:dyDescent="0.25">
      <c r="A93"/>
      <c r="B93" s="30"/>
      <c r="F93" s="31"/>
    </row>
    <row r="94" spans="1:6" x14ac:dyDescent="0.25">
      <c r="A94"/>
      <c r="B94" s="30"/>
      <c r="F94" s="31"/>
    </row>
    <row r="95" spans="1:6" x14ac:dyDescent="0.25">
      <c r="A95"/>
      <c r="B95" s="30"/>
      <c r="F95" s="31"/>
    </row>
    <row r="96" spans="1:6" x14ac:dyDescent="0.25">
      <c r="A96"/>
      <c r="B96" s="30"/>
      <c r="F96" s="31"/>
    </row>
    <row r="97" spans="1:6" x14ac:dyDescent="0.25">
      <c r="A97"/>
      <c r="B97" s="30"/>
      <c r="F97" s="31"/>
    </row>
    <row r="98" spans="1:6" x14ac:dyDescent="0.25">
      <c r="A98"/>
      <c r="B98" s="30"/>
      <c r="F98" s="31"/>
    </row>
    <row r="99" spans="1:6" x14ac:dyDescent="0.25">
      <c r="A99"/>
      <c r="B99" s="30"/>
      <c r="F99" s="31"/>
    </row>
    <row r="100" spans="1:6" x14ac:dyDescent="0.25">
      <c r="A100"/>
      <c r="B100" s="30"/>
      <c r="F100" s="31"/>
    </row>
    <row r="101" spans="1:6" x14ac:dyDescent="0.25">
      <c r="A101"/>
      <c r="B101" s="30"/>
      <c r="F101" s="31"/>
    </row>
    <row r="102" spans="1:6" x14ac:dyDescent="0.25">
      <c r="A102"/>
      <c r="B102" s="30"/>
      <c r="F102" s="31"/>
    </row>
    <row r="103" spans="1:6" x14ac:dyDescent="0.25">
      <c r="A103"/>
      <c r="B103" s="30"/>
      <c r="F103" s="31"/>
    </row>
    <row r="104" spans="1:6" x14ac:dyDescent="0.25">
      <c r="A104"/>
      <c r="B104" s="30"/>
      <c r="F104" s="31"/>
    </row>
    <row r="105" spans="1:6" x14ac:dyDescent="0.25">
      <c r="A105"/>
      <c r="B105" s="30"/>
      <c r="F105" s="31"/>
    </row>
    <row r="106" spans="1:6" x14ac:dyDescent="0.25">
      <c r="A106"/>
      <c r="B106" s="30"/>
      <c r="F106" s="31"/>
    </row>
    <row r="107" spans="1:6" x14ac:dyDescent="0.25">
      <c r="A107"/>
      <c r="B107" s="30"/>
      <c r="F107" s="31"/>
    </row>
    <row r="108" spans="1:6" x14ac:dyDescent="0.25">
      <c r="A108"/>
      <c r="B108" s="30"/>
      <c r="F108" s="31"/>
    </row>
    <row r="109" spans="1:6" x14ac:dyDescent="0.25">
      <c r="A109"/>
      <c r="B109" s="30"/>
      <c r="F109" s="31"/>
    </row>
    <row r="110" spans="1:6" x14ac:dyDescent="0.25">
      <c r="A110"/>
      <c r="B110" s="30"/>
      <c r="F110" s="31"/>
    </row>
    <row r="111" spans="1:6" x14ac:dyDescent="0.25">
      <c r="A111"/>
      <c r="B111" s="30"/>
      <c r="F111" s="31"/>
    </row>
    <row r="112" spans="1:6" x14ac:dyDescent="0.25">
      <c r="A112"/>
      <c r="B112" s="30"/>
      <c r="F112" s="31"/>
    </row>
    <row r="113" spans="1:6" x14ac:dyDescent="0.25">
      <c r="A113"/>
      <c r="B113" s="30"/>
      <c r="F113" s="31"/>
    </row>
    <row r="114" spans="1:6" x14ac:dyDescent="0.25">
      <c r="A114"/>
      <c r="B114" s="30"/>
      <c r="F114" s="31"/>
    </row>
    <row r="115" spans="1:6" x14ac:dyDescent="0.25">
      <c r="A115"/>
      <c r="B115" s="30"/>
      <c r="F115" s="31"/>
    </row>
    <row r="116" spans="1:6" x14ac:dyDescent="0.25">
      <c r="A116"/>
      <c r="B116" s="30"/>
      <c r="F116" s="31"/>
    </row>
    <row r="117" spans="1:6" x14ac:dyDescent="0.25">
      <c r="A117"/>
      <c r="B117" s="30"/>
      <c r="F117" s="31"/>
    </row>
    <row r="118" spans="1:6" x14ac:dyDescent="0.25">
      <c r="A118"/>
      <c r="B118" s="30"/>
      <c r="F118" s="31"/>
    </row>
    <row r="119" spans="1:6" x14ac:dyDescent="0.25">
      <c r="A119"/>
      <c r="B119" s="30"/>
      <c r="F119" s="31"/>
    </row>
    <row r="120" spans="1:6" x14ac:dyDescent="0.25">
      <c r="A120"/>
      <c r="B120" s="30"/>
      <c r="F120" s="31"/>
    </row>
    <row r="121" spans="1:6" x14ac:dyDescent="0.25">
      <c r="A121"/>
      <c r="B121" s="30"/>
      <c r="F121" s="31"/>
    </row>
    <row r="122" spans="1:6" x14ac:dyDescent="0.25">
      <c r="A122"/>
      <c r="B122" s="30"/>
      <c r="F122" s="31"/>
    </row>
    <row r="123" spans="1:6" x14ac:dyDescent="0.25">
      <c r="A123"/>
      <c r="B123" s="30"/>
      <c r="F123" s="31"/>
    </row>
    <row r="124" spans="1:6" x14ac:dyDescent="0.25">
      <c r="A124"/>
      <c r="B124" s="30"/>
      <c r="F124" s="31"/>
    </row>
    <row r="125" spans="1:6" x14ac:dyDescent="0.25">
      <c r="A125"/>
      <c r="B125" s="30"/>
      <c r="F125" s="31"/>
    </row>
    <row r="126" spans="1:6" x14ac:dyDescent="0.25">
      <c r="A126"/>
      <c r="B126" s="30"/>
      <c r="F126" s="31"/>
    </row>
    <row r="127" spans="1:6" x14ac:dyDescent="0.25">
      <c r="A127"/>
      <c r="B127" s="30"/>
      <c r="F127" s="31"/>
    </row>
    <row r="128" spans="1:6" x14ac:dyDescent="0.25">
      <c r="A128"/>
      <c r="B128" s="30"/>
      <c r="F128" s="31"/>
    </row>
    <row r="129" spans="1:6" x14ac:dyDescent="0.25">
      <c r="A129"/>
      <c r="B129" s="30"/>
      <c r="F129" s="31"/>
    </row>
    <row r="130" spans="1:6" x14ac:dyDescent="0.25">
      <c r="A130"/>
      <c r="B130" s="30"/>
      <c r="F130" s="31"/>
    </row>
    <row r="131" spans="1:6" x14ac:dyDescent="0.25">
      <c r="A131"/>
      <c r="B131" s="30"/>
      <c r="F131" s="31"/>
    </row>
    <row r="132" spans="1:6" x14ac:dyDescent="0.25">
      <c r="A132"/>
      <c r="B132" s="30"/>
      <c r="F132" s="31"/>
    </row>
    <row r="133" spans="1:6" x14ac:dyDescent="0.25">
      <c r="A133"/>
      <c r="B133" s="30"/>
      <c r="F133" s="31"/>
    </row>
    <row r="134" spans="1:6" x14ac:dyDescent="0.25">
      <c r="A134"/>
      <c r="B134" s="30"/>
      <c r="F134" s="31"/>
    </row>
    <row r="135" spans="1:6" x14ac:dyDescent="0.25">
      <c r="A135"/>
      <c r="B135" s="30"/>
      <c r="F135" s="31"/>
    </row>
    <row r="136" spans="1:6" x14ac:dyDescent="0.25">
      <c r="A136"/>
      <c r="B136" s="30"/>
      <c r="F136" s="31"/>
    </row>
    <row r="137" spans="1:6" x14ac:dyDescent="0.25">
      <c r="A137"/>
      <c r="B137" s="30"/>
      <c r="F137" s="31"/>
    </row>
    <row r="138" spans="1:6" x14ac:dyDescent="0.25">
      <c r="A138"/>
      <c r="B138" s="30"/>
      <c r="F138" s="31"/>
    </row>
    <row r="139" spans="1:6" x14ac:dyDescent="0.25">
      <c r="A139"/>
      <c r="B139" s="30"/>
      <c r="F139" s="31"/>
    </row>
    <row r="140" spans="1:6" x14ac:dyDescent="0.25">
      <c r="A140"/>
      <c r="B140" s="30"/>
      <c r="F140" s="31"/>
    </row>
    <row r="141" spans="1:6" x14ac:dyDescent="0.25">
      <c r="A141"/>
      <c r="B141" s="30"/>
      <c r="F141" s="31"/>
    </row>
    <row r="142" spans="1:6" x14ac:dyDescent="0.25">
      <c r="A142"/>
      <c r="B142" s="30"/>
      <c r="F142" s="31"/>
    </row>
    <row r="143" spans="1:6" x14ac:dyDescent="0.25">
      <c r="A143"/>
      <c r="B143" s="30"/>
      <c r="F143" s="31"/>
    </row>
    <row r="144" spans="1:6" x14ac:dyDescent="0.25">
      <c r="A144"/>
      <c r="B144" s="30"/>
      <c r="F144" s="31"/>
    </row>
    <row r="145" spans="1:6" x14ac:dyDescent="0.25">
      <c r="A145"/>
      <c r="B145" s="30"/>
      <c r="F145" s="31"/>
    </row>
    <row r="146" spans="1:6" x14ac:dyDescent="0.25">
      <c r="A146"/>
      <c r="B146" s="30"/>
      <c r="F146" s="31"/>
    </row>
    <row r="147" spans="1:6" x14ac:dyDescent="0.25">
      <c r="A147"/>
      <c r="B147" s="30"/>
      <c r="F147" s="31"/>
    </row>
    <row r="148" spans="1:6" x14ac:dyDescent="0.25">
      <c r="A148"/>
      <c r="B148" s="30"/>
      <c r="F148" s="31"/>
    </row>
    <row r="149" spans="1:6" x14ac:dyDescent="0.25">
      <c r="A149"/>
      <c r="B149" s="30"/>
      <c r="F149" s="31"/>
    </row>
    <row r="150" spans="1:6" x14ac:dyDescent="0.25">
      <c r="A150"/>
      <c r="B150" s="30"/>
      <c r="F150" s="31"/>
    </row>
    <row r="151" spans="1:6" x14ac:dyDescent="0.25">
      <c r="A151"/>
      <c r="B151" s="30"/>
      <c r="F151" s="31"/>
    </row>
    <row r="152" spans="1:6" x14ac:dyDescent="0.25">
      <c r="A152"/>
      <c r="B152" s="30"/>
      <c r="F152" s="31"/>
    </row>
    <row r="153" spans="1:6" x14ac:dyDescent="0.25">
      <c r="A153"/>
      <c r="B153" s="30"/>
      <c r="F153" s="31"/>
    </row>
    <row r="154" spans="1:6" x14ac:dyDescent="0.25">
      <c r="A154"/>
      <c r="B154" s="30"/>
      <c r="F154" s="31"/>
    </row>
    <row r="155" spans="1:6" x14ac:dyDescent="0.25">
      <c r="A155"/>
      <c r="B155" s="30"/>
      <c r="F155" s="31"/>
    </row>
    <row r="156" spans="1:6" x14ac:dyDescent="0.25">
      <c r="A156"/>
      <c r="B156" s="30"/>
      <c r="F156" s="31"/>
    </row>
    <row r="157" spans="1:6" x14ac:dyDescent="0.25">
      <c r="A157"/>
      <c r="B157" s="30"/>
      <c r="F157" s="31"/>
    </row>
    <row r="158" spans="1:6" x14ac:dyDescent="0.25">
      <c r="A158"/>
      <c r="B158" s="30"/>
      <c r="F158" s="31"/>
    </row>
    <row r="159" spans="1:6" x14ac:dyDescent="0.25">
      <c r="A159"/>
      <c r="B159" s="30"/>
      <c r="F159" s="31"/>
    </row>
    <row r="160" spans="1:6" x14ac:dyDescent="0.25">
      <c r="A160"/>
      <c r="B160" s="30"/>
      <c r="F160" s="31"/>
    </row>
    <row r="161" spans="1:6" x14ac:dyDescent="0.25">
      <c r="A161"/>
      <c r="B161" s="30"/>
      <c r="F161" s="31"/>
    </row>
    <row r="162" spans="1:6" x14ac:dyDescent="0.25">
      <c r="A162"/>
      <c r="B162" s="30"/>
      <c r="F162" s="31"/>
    </row>
    <row r="163" spans="1:6" x14ac:dyDescent="0.25">
      <c r="A163"/>
      <c r="B163" s="30"/>
      <c r="F163" s="31"/>
    </row>
    <row r="164" spans="1:6" x14ac:dyDescent="0.25">
      <c r="A164"/>
      <c r="B164" s="30"/>
      <c r="F164" s="31"/>
    </row>
    <row r="165" spans="1:6" x14ac:dyDescent="0.25">
      <c r="A165"/>
      <c r="B165" s="30"/>
      <c r="F165" s="31"/>
    </row>
    <row r="166" spans="1:6" x14ac:dyDescent="0.25">
      <c r="A166"/>
      <c r="B166" s="30"/>
      <c r="F166" s="31"/>
    </row>
    <row r="167" spans="1:6" x14ac:dyDescent="0.25">
      <c r="A167"/>
      <c r="B167" s="30"/>
      <c r="F167" s="31"/>
    </row>
    <row r="168" spans="1:6" x14ac:dyDescent="0.25">
      <c r="A168"/>
      <c r="B168" s="30"/>
      <c r="F168" s="31"/>
    </row>
    <row r="169" spans="1:6" x14ac:dyDescent="0.25">
      <c r="A169"/>
      <c r="B169" s="30"/>
      <c r="F169" s="31"/>
    </row>
    <row r="170" spans="1:6" x14ac:dyDescent="0.25">
      <c r="A170"/>
      <c r="B170" s="30"/>
      <c r="F170" s="31"/>
    </row>
    <row r="171" spans="1:6" x14ac:dyDescent="0.25">
      <c r="A171"/>
      <c r="B171" s="30"/>
      <c r="F171" s="31"/>
    </row>
    <row r="172" spans="1:6" x14ac:dyDescent="0.25">
      <c r="A172"/>
      <c r="B172" s="30"/>
      <c r="F172" s="31"/>
    </row>
    <row r="173" spans="1:6" x14ac:dyDescent="0.25">
      <c r="A173"/>
      <c r="B173" s="30"/>
      <c r="F173" s="31"/>
    </row>
    <row r="174" spans="1:6" x14ac:dyDescent="0.25">
      <c r="A174"/>
      <c r="B174" s="30"/>
      <c r="F174" s="31"/>
    </row>
    <row r="175" spans="1:6" x14ac:dyDescent="0.25">
      <c r="A175"/>
      <c r="B175" s="30"/>
      <c r="F175" s="31"/>
    </row>
    <row r="176" spans="1:6" x14ac:dyDescent="0.25">
      <c r="A176"/>
      <c r="B176" s="30"/>
      <c r="F176" s="31"/>
    </row>
    <row r="177" spans="1:6" x14ac:dyDescent="0.25">
      <c r="A177"/>
      <c r="B177" s="30"/>
      <c r="F177" s="31"/>
    </row>
    <row r="178" spans="1:6" x14ac:dyDescent="0.25">
      <c r="A178"/>
      <c r="B178" s="30"/>
      <c r="F178" s="31"/>
    </row>
    <row r="179" spans="1:6" x14ac:dyDescent="0.25">
      <c r="A179"/>
      <c r="B179" s="30"/>
      <c r="F179" s="31"/>
    </row>
    <row r="180" spans="1:6" x14ac:dyDescent="0.25">
      <c r="A180"/>
      <c r="B180" s="30"/>
      <c r="F180" s="31"/>
    </row>
    <row r="181" spans="1:6" x14ac:dyDescent="0.25">
      <c r="A181"/>
      <c r="B181" s="30"/>
      <c r="F181" s="31"/>
    </row>
    <row r="182" spans="1:6" x14ac:dyDescent="0.25">
      <c r="A182"/>
      <c r="B182" s="30"/>
      <c r="F182" s="31"/>
    </row>
    <row r="183" spans="1:6" x14ac:dyDescent="0.25">
      <c r="A183"/>
      <c r="B183" s="30"/>
      <c r="F183" s="31"/>
    </row>
    <row r="184" spans="1:6" x14ac:dyDescent="0.25">
      <c r="A184"/>
      <c r="B184" s="30"/>
      <c r="F184" s="31"/>
    </row>
    <row r="185" spans="1:6" x14ac:dyDescent="0.25">
      <c r="A185"/>
      <c r="B185" s="30"/>
      <c r="F185" s="31"/>
    </row>
    <row r="186" spans="1:6" x14ac:dyDescent="0.25">
      <c r="A186"/>
      <c r="B186" s="30"/>
      <c r="F186" s="31"/>
    </row>
    <row r="187" spans="1:6" x14ac:dyDescent="0.25">
      <c r="A187"/>
      <c r="B187" s="30"/>
      <c r="F187" s="31"/>
    </row>
    <row r="188" spans="1:6" x14ac:dyDescent="0.25">
      <c r="A188"/>
      <c r="B188" s="30"/>
      <c r="F188" s="31"/>
    </row>
    <row r="189" spans="1:6" x14ac:dyDescent="0.25">
      <c r="A189"/>
      <c r="B189" s="30"/>
      <c r="F189" s="31"/>
    </row>
    <row r="190" spans="1:6" x14ac:dyDescent="0.25">
      <c r="A190"/>
      <c r="B190" s="30"/>
      <c r="F190" s="31"/>
    </row>
    <row r="191" spans="1:6" x14ac:dyDescent="0.25">
      <c r="A191"/>
      <c r="B191" s="30"/>
      <c r="F191" s="31"/>
    </row>
    <row r="192" spans="1:6" x14ac:dyDescent="0.25">
      <c r="A192"/>
      <c r="B192" s="30"/>
      <c r="F192" s="31"/>
    </row>
    <row r="193" spans="1:6" x14ac:dyDescent="0.25">
      <c r="A193"/>
      <c r="B193" s="30"/>
      <c r="F193" s="31"/>
    </row>
    <row r="194" spans="1:6" x14ac:dyDescent="0.25">
      <c r="A194"/>
      <c r="B194" s="30"/>
      <c r="F194" s="31"/>
    </row>
    <row r="195" spans="1:6" x14ac:dyDescent="0.25">
      <c r="A195"/>
      <c r="B195" s="30"/>
      <c r="F195" s="31"/>
    </row>
    <row r="196" spans="1:6" x14ac:dyDescent="0.25">
      <c r="A196"/>
      <c r="B196" s="30"/>
      <c r="F196" s="31"/>
    </row>
    <row r="197" spans="1:6" x14ac:dyDescent="0.25">
      <c r="A197"/>
      <c r="B197" s="30"/>
      <c r="F197" s="31"/>
    </row>
    <row r="198" spans="1:6" x14ac:dyDescent="0.25">
      <c r="A198"/>
      <c r="B198" s="30"/>
      <c r="F198" s="31"/>
    </row>
    <row r="199" spans="1:6" x14ac:dyDescent="0.25">
      <c r="A199"/>
      <c r="B199" s="30"/>
      <c r="F199" s="31"/>
    </row>
    <row r="200" spans="1:6" x14ac:dyDescent="0.25">
      <c r="A200"/>
      <c r="B200" s="30"/>
      <c r="F200" s="31"/>
    </row>
    <row r="201" spans="1:6" x14ac:dyDescent="0.25">
      <c r="A201"/>
      <c r="B201" s="30"/>
      <c r="F201" s="31"/>
    </row>
    <row r="202" spans="1:6" x14ac:dyDescent="0.25">
      <c r="A202"/>
      <c r="B202" s="30"/>
      <c r="F202" s="31"/>
    </row>
    <row r="203" spans="1:6" x14ac:dyDescent="0.25">
      <c r="A203"/>
      <c r="B203" s="30"/>
      <c r="F203" s="31"/>
    </row>
    <row r="204" spans="1:6" x14ac:dyDescent="0.25">
      <c r="A204"/>
      <c r="B204" s="30"/>
      <c r="F204" s="31"/>
    </row>
    <row r="205" spans="1:6" x14ac:dyDescent="0.25">
      <c r="A205"/>
      <c r="B205" s="30"/>
      <c r="F205" s="31"/>
    </row>
    <row r="206" spans="1:6" x14ac:dyDescent="0.25">
      <c r="A206"/>
      <c r="B206" s="30"/>
      <c r="F206" s="31"/>
    </row>
    <row r="207" spans="1:6" x14ac:dyDescent="0.25">
      <c r="A207"/>
      <c r="B207" s="30"/>
      <c r="F207" s="31"/>
    </row>
    <row r="208" spans="1:6" x14ac:dyDescent="0.25">
      <c r="A208"/>
      <c r="B208" s="30"/>
      <c r="F208" s="31"/>
    </row>
    <row r="209" spans="1:6" x14ac:dyDescent="0.25">
      <c r="A209"/>
      <c r="B209" s="30"/>
      <c r="F209" s="31"/>
    </row>
    <row r="210" spans="1:6" x14ac:dyDescent="0.25">
      <c r="A210"/>
      <c r="B210" s="30"/>
      <c r="F210" s="31"/>
    </row>
    <row r="211" spans="1:6" x14ac:dyDescent="0.25">
      <c r="A211"/>
      <c r="B211" s="30"/>
      <c r="F211" s="31"/>
    </row>
    <row r="212" spans="1:6" x14ac:dyDescent="0.25">
      <c r="A212"/>
      <c r="B212" s="30"/>
      <c r="F212" s="31"/>
    </row>
    <row r="213" spans="1:6" x14ac:dyDescent="0.25">
      <c r="A213"/>
      <c r="B213" s="30"/>
      <c r="F213" s="31"/>
    </row>
    <row r="214" spans="1:6" x14ac:dyDescent="0.25">
      <c r="A214"/>
      <c r="B214" s="30"/>
      <c r="F214" s="31"/>
    </row>
    <row r="215" spans="1:6" x14ac:dyDescent="0.25">
      <c r="A215"/>
      <c r="B215" s="30"/>
      <c r="F215" s="31"/>
    </row>
    <row r="216" spans="1:6" x14ac:dyDescent="0.25">
      <c r="A216"/>
      <c r="B216" s="30"/>
      <c r="F216" s="31"/>
    </row>
    <row r="217" spans="1:6" x14ac:dyDescent="0.25">
      <c r="A217"/>
      <c r="B217" s="30"/>
      <c r="F217" s="31"/>
    </row>
    <row r="218" spans="1:6" x14ac:dyDescent="0.25">
      <c r="A218"/>
      <c r="B218" s="30"/>
      <c r="F218" s="31"/>
    </row>
    <row r="219" spans="1:6" x14ac:dyDescent="0.25">
      <c r="A219"/>
      <c r="B219" s="30"/>
      <c r="F219" s="31"/>
    </row>
    <row r="220" spans="1:6" x14ac:dyDescent="0.25">
      <c r="A220"/>
      <c r="B220" s="30"/>
      <c r="F220" s="31"/>
    </row>
    <row r="221" spans="1:6" x14ac:dyDescent="0.25">
      <c r="A221"/>
      <c r="B221" s="30"/>
      <c r="F221" s="31"/>
    </row>
    <row r="222" spans="1:6" x14ac:dyDescent="0.25">
      <c r="A222"/>
      <c r="B222" s="30"/>
      <c r="F222" s="31"/>
    </row>
    <row r="223" spans="1:6" x14ac:dyDescent="0.25">
      <c r="A223"/>
      <c r="B223" s="30"/>
      <c r="F223" s="31"/>
    </row>
    <row r="224" spans="1:6" x14ac:dyDescent="0.25">
      <c r="A224"/>
      <c r="B224" s="30"/>
      <c r="F224" s="31"/>
    </row>
    <row r="225" spans="1:6" x14ac:dyDescent="0.25">
      <c r="A225"/>
      <c r="B225" s="30"/>
      <c r="F225" s="31"/>
    </row>
    <row r="226" spans="1:6" x14ac:dyDescent="0.25">
      <c r="A226"/>
      <c r="B226" s="30"/>
      <c r="F226" s="31"/>
    </row>
    <row r="227" spans="1:6" x14ac:dyDescent="0.25">
      <c r="A227"/>
      <c r="B227" s="30"/>
      <c r="F227" s="31"/>
    </row>
    <row r="228" spans="1:6" x14ac:dyDescent="0.25">
      <c r="A228"/>
      <c r="B228" s="30"/>
      <c r="F228" s="31"/>
    </row>
    <row r="229" spans="1:6" x14ac:dyDescent="0.25">
      <c r="A229"/>
      <c r="B229" s="30"/>
      <c r="F229" s="31"/>
    </row>
    <row r="230" spans="1:6" x14ac:dyDescent="0.25">
      <c r="A230"/>
      <c r="B230" s="30"/>
      <c r="F230" s="31"/>
    </row>
    <row r="231" spans="1:6" x14ac:dyDescent="0.25">
      <c r="A231"/>
      <c r="B231" s="30"/>
      <c r="F231" s="31"/>
    </row>
    <row r="232" spans="1:6" x14ac:dyDescent="0.25">
      <c r="A232"/>
      <c r="B232" s="30"/>
      <c r="F232" s="31"/>
    </row>
    <row r="233" spans="1:6" x14ac:dyDescent="0.25">
      <c r="A233"/>
      <c r="B233" s="30"/>
      <c r="F233" s="31"/>
    </row>
    <row r="234" spans="1:6" x14ac:dyDescent="0.25">
      <c r="A234"/>
      <c r="B234" s="30"/>
      <c r="F234" s="31"/>
    </row>
    <row r="235" spans="1:6" x14ac:dyDescent="0.25">
      <c r="A235"/>
      <c r="B235" s="30"/>
      <c r="F235" s="31"/>
    </row>
    <row r="236" spans="1:6" x14ac:dyDescent="0.25">
      <c r="A236"/>
      <c r="B236" s="30"/>
      <c r="F236" s="31"/>
    </row>
    <row r="237" spans="1:6" x14ac:dyDescent="0.25">
      <c r="A237"/>
      <c r="B237" s="30"/>
      <c r="F237" s="31"/>
    </row>
    <row r="238" spans="1:6" x14ac:dyDescent="0.25">
      <c r="A238"/>
      <c r="B238" s="30"/>
      <c r="F238" s="31"/>
    </row>
    <row r="239" spans="1:6" x14ac:dyDescent="0.25">
      <c r="A239"/>
      <c r="B239" s="30"/>
      <c r="F239" s="31"/>
    </row>
    <row r="240" spans="1:6" x14ac:dyDescent="0.25">
      <c r="A240"/>
      <c r="B240" s="30"/>
      <c r="F240" s="31"/>
    </row>
    <row r="241" spans="1:6" x14ac:dyDescent="0.25">
      <c r="A241"/>
      <c r="B241" s="30"/>
      <c r="F241" s="31"/>
    </row>
    <row r="242" spans="1:6" x14ac:dyDescent="0.25">
      <c r="A242"/>
      <c r="B242" s="30"/>
      <c r="F242" s="31"/>
    </row>
    <row r="243" spans="1:6" x14ac:dyDescent="0.25">
      <c r="A243"/>
      <c r="B243" s="30"/>
      <c r="F243" s="31"/>
    </row>
    <row r="244" spans="1:6" x14ac:dyDescent="0.25">
      <c r="A244"/>
      <c r="B244" s="30"/>
      <c r="F244" s="31"/>
    </row>
    <row r="245" spans="1:6" x14ac:dyDescent="0.25">
      <c r="A245"/>
      <c r="B245" s="30"/>
      <c r="F245" s="31"/>
    </row>
    <row r="246" spans="1:6" x14ac:dyDescent="0.25">
      <c r="A246"/>
      <c r="B246" s="30"/>
      <c r="F246" s="31"/>
    </row>
    <row r="247" spans="1:6" x14ac:dyDescent="0.25">
      <c r="A247"/>
      <c r="B247" s="30"/>
      <c r="F247" s="31"/>
    </row>
    <row r="248" spans="1:6" x14ac:dyDescent="0.25">
      <c r="A248"/>
      <c r="B248" s="30"/>
      <c r="F248" s="31"/>
    </row>
    <row r="249" spans="1:6" x14ac:dyDescent="0.25">
      <c r="A249"/>
      <c r="B249" s="30"/>
      <c r="F249" s="31"/>
    </row>
    <row r="250" spans="1:6" x14ac:dyDescent="0.25">
      <c r="A250"/>
      <c r="B250" s="30"/>
      <c r="F250" s="31"/>
    </row>
    <row r="251" spans="1:6" x14ac:dyDescent="0.25">
      <c r="A251"/>
      <c r="B251" s="30"/>
      <c r="F251" s="31"/>
    </row>
    <row r="252" spans="1:6" x14ac:dyDescent="0.25">
      <c r="A252"/>
      <c r="B252" s="30"/>
      <c r="F252" s="31"/>
    </row>
    <row r="253" spans="1:6" x14ac:dyDescent="0.25">
      <c r="A253"/>
      <c r="B253" s="30"/>
      <c r="F253" s="31"/>
    </row>
    <row r="254" spans="1:6" x14ac:dyDescent="0.25">
      <c r="A254"/>
      <c r="B254" s="30"/>
      <c r="F254" s="31"/>
    </row>
    <row r="255" spans="1:6" x14ac:dyDescent="0.25">
      <c r="A255"/>
      <c r="B255" s="30"/>
      <c r="F255" s="31"/>
    </row>
    <row r="256" spans="1:6" x14ac:dyDescent="0.25">
      <c r="A256"/>
      <c r="B256" s="30"/>
      <c r="F256" s="31"/>
    </row>
    <row r="257" spans="1:6" x14ac:dyDescent="0.25">
      <c r="A257"/>
      <c r="B257" s="30"/>
      <c r="F257" s="31"/>
    </row>
    <row r="258" spans="1:6" x14ac:dyDescent="0.25">
      <c r="A258"/>
      <c r="B258" s="30"/>
      <c r="F258" s="31"/>
    </row>
    <row r="259" spans="1:6" x14ac:dyDescent="0.25">
      <c r="A259"/>
      <c r="B259" s="30"/>
      <c r="F259" s="31"/>
    </row>
    <row r="260" spans="1:6" x14ac:dyDescent="0.25">
      <c r="A260"/>
      <c r="B260" s="30"/>
      <c r="F260" s="31"/>
    </row>
    <row r="261" spans="1:6" x14ac:dyDescent="0.25">
      <c r="A261"/>
      <c r="B261" s="30"/>
      <c r="F261" s="31"/>
    </row>
    <row r="262" spans="1:6" x14ac:dyDescent="0.25">
      <c r="A262"/>
      <c r="B262" s="30"/>
      <c r="F262" s="31"/>
    </row>
    <row r="263" spans="1:6" x14ac:dyDescent="0.25">
      <c r="A263"/>
      <c r="B263" s="30"/>
      <c r="F263" s="31"/>
    </row>
    <row r="264" spans="1:6" x14ac:dyDescent="0.25">
      <c r="A264"/>
      <c r="B264" s="30"/>
      <c r="F264" s="31"/>
    </row>
    <row r="265" spans="1:6" x14ac:dyDescent="0.25">
      <c r="A265"/>
      <c r="B265" s="30"/>
      <c r="F265" s="31"/>
    </row>
    <row r="266" spans="1:6" x14ac:dyDescent="0.25">
      <c r="A266"/>
      <c r="B266" s="30"/>
      <c r="F266" s="31"/>
    </row>
    <row r="267" spans="1:6" x14ac:dyDescent="0.25">
      <c r="A267"/>
      <c r="B267" s="30"/>
      <c r="F267" s="31"/>
    </row>
    <row r="268" spans="1:6" x14ac:dyDescent="0.25">
      <c r="A268"/>
      <c r="B268" s="30"/>
      <c r="F268" s="31"/>
    </row>
    <row r="269" spans="1:6" x14ac:dyDescent="0.25">
      <c r="A269"/>
      <c r="B269" s="30"/>
      <c r="F269" s="31"/>
    </row>
    <row r="270" spans="1:6" x14ac:dyDescent="0.25">
      <c r="A270"/>
      <c r="B270" s="30"/>
      <c r="F270" s="31"/>
    </row>
    <row r="271" spans="1:6" x14ac:dyDescent="0.25">
      <c r="A271"/>
      <c r="B271" s="30"/>
      <c r="F271" s="31"/>
    </row>
    <row r="272" spans="1:6" x14ac:dyDescent="0.25">
      <c r="A272"/>
      <c r="B272" s="30"/>
      <c r="F272" s="31"/>
    </row>
    <row r="273" spans="1:6" x14ac:dyDescent="0.25">
      <c r="A273"/>
      <c r="B273" s="30"/>
      <c r="F273" s="31"/>
    </row>
    <row r="274" spans="1:6" x14ac:dyDescent="0.25">
      <c r="A274"/>
      <c r="B274" s="30"/>
      <c r="F274" s="31"/>
    </row>
    <row r="275" spans="1:6" x14ac:dyDescent="0.25">
      <c r="A275"/>
      <c r="B275" s="30"/>
      <c r="F275" s="31"/>
    </row>
    <row r="276" spans="1:6" x14ac:dyDescent="0.25">
      <c r="A276"/>
      <c r="B276" s="30"/>
      <c r="F276" s="31"/>
    </row>
    <row r="277" spans="1:6" x14ac:dyDescent="0.25">
      <c r="A277"/>
      <c r="B277" s="30"/>
      <c r="F277" s="31"/>
    </row>
    <row r="278" spans="1:6" x14ac:dyDescent="0.25">
      <c r="A278"/>
      <c r="B278" s="30"/>
      <c r="F278" s="31"/>
    </row>
    <row r="279" spans="1:6" x14ac:dyDescent="0.25">
      <c r="A279"/>
      <c r="B279" s="30"/>
      <c r="F279" s="31"/>
    </row>
    <row r="280" spans="1:6" x14ac:dyDescent="0.25">
      <c r="A280"/>
      <c r="B280" s="30"/>
      <c r="F280" s="31"/>
    </row>
    <row r="281" spans="1:6" x14ac:dyDescent="0.25">
      <c r="A281"/>
      <c r="B281" s="30"/>
      <c r="F281" s="31"/>
    </row>
    <row r="282" spans="1:6" x14ac:dyDescent="0.25">
      <c r="A282"/>
      <c r="B282" s="30"/>
      <c r="F282" s="31"/>
    </row>
    <row r="283" spans="1:6" x14ac:dyDescent="0.25">
      <c r="A283"/>
      <c r="B283" s="30"/>
      <c r="F283" s="31"/>
    </row>
    <row r="284" spans="1:6" x14ac:dyDescent="0.25">
      <c r="A284"/>
      <c r="B284" s="30"/>
      <c r="F284" s="31"/>
    </row>
    <row r="285" spans="1:6" x14ac:dyDescent="0.25">
      <c r="A285"/>
      <c r="B285" s="30"/>
      <c r="F285" s="31"/>
    </row>
    <row r="286" spans="1:6" x14ac:dyDescent="0.25">
      <c r="A286"/>
      <c r="B286" s="30"/>
      <c r="F286" s="31"/>
    </row>
    <row r="287" spans="1:6" x14ac:dyDescent="0.25">
      <c r="A287"/>
      <c r="B287" s="30"/>
      <c r="F287" s="31"/>
    </row>
    <row r="288" spans="1:6" x14ac:dyDescent="0.25">
      <c r="A288"/>
      <c r="B288" s="30"/>
      <c r="F288" s="31"/>
    </row>
    <row r="289" spans="1:6" x14ac:dyDescent="0.25">
      <c r="A289"/>
      <c r="B289" s="30"/>
      <c r="F289" s="31"/>
    </row>
    <row r="290" spans="1:6" x14ac:dyDescent="0.25">
      <c r="A290"/>
      <c r="B290" s="30"/>
      <c r="F290" s="31"/>
    </row>
    <row r="291" spans="1:6" x14ac:dyDescent="0.25">
      <c r="A291"/>
      <c r="B291" s="30"/>
      <c r="F291" s="31"/>
    </row>
    <row r="292" spans="1:6" x14ac:dyDescent="0.25">
      <c r="A292"/>
      <c r="B292" s="30"/>
      <c r="F292" s="31"/>
    </row>
    <row r="293" spans="1:6" x14ac:dyDescent="0.25">
      <c r="A293"/>
      <c r="B293" s="30"/>
      <c r="F293" s="31"/>
    </row>
    <row r="294" spans="1:6" x14ac:dyDescent="0.25">
      <c r="A294"/>
      <c r="B294" s="30"/>
      <c r="F294" s="31"/>
    </row>
    <row r="295" spans="1:6" x14ac:dyDescent="0.25">
      <c r="A295"/>
      <c r="B295" s="30"/>
      <c r="F295" s="31"/>
    </row>
    <row r="296" spans="1:6" x14ac:dyDescent="0.25">
      <c r="A296"/>
      <c r="B296" s="30"/>
      <c r="F296" s="31"/>
    </row>
    <row r="297" spans="1:6" x14ac:dyDescent="0.25">
      <c r="A297"/>
      <c r="B297" s="30"/>
      <c r="F297" s="31"/>
    </row>
    <row r="298" spans="1:6" x14ac:dyDescent="0.25">
      <c r="A298"/>
      <c r="B298" s="30"/>
      <c r="F298" s="31"/>
    </row>
    <row r="299" spans="1:6" x14ac:dyDescent="0.25">
      <c r="A299"/>
      <c r="B299" s="30"/>
      <c r="F299" s="31"/>
    </row>
    <row r="300" spans="1:6" x14ac:dyDescent="0.25">
      <c r="A300"/>
      <c r="B300" s="30"/>
      <c r="F300" s="31"/>
    </row>
    <row r="301" spans="1:6" x14ac:dyDescent="0.25">
      <c r="A301"/>
      <c r="B301" s="30"/>
      <c r="F301" s="31"/>
    </row>
    <row r="302" spans="1:6" x14ac:dyDescent="0.25">
      <c r="A302"/>
      <c r="B302" s="30"/>
      <c r="F302" s="31"/>
    </row>
    <row r="303" spans="1:6" x14ac:dyDescent="0.25">
      <c r="A303"/>
      <c r="B303" s="30"/>
      <c r="F303" s="31"/>
    </row>
    <row r="304" spans="1:6" x14ac:dyDescent="0.25">
      <c r="A304"/>
      <c r="B304" s="30"/>
      <c r="F304" s="31"/>
    </row>
    <row r="305" spans="1:6" x14ac:dyDescent="0.25">
      <c r="A305"/>
      <c r="B305" s="30"/>
      <c r="F305" s="31"/>
    </row>
    <row r="306" spans="1:6" x14ac:dyDescent="0.25">
      <c r="A306"/>
      <c r="B306" s="30"/>
      <c r="F306" s="31"/>
    </row>
    <row r="307" spans="1:6" x14ac:dyDescent="0.25">
      <c r="A307"/>
      <c r="B307" s="30"/>
      <c r="F307" s="31"/>
    </row>
    <row r="308" spans="1:6" x14ac:dyDescent="0.25">
      <c r="A308"/>
      <c r="B308" s="30"/>
      <c r="F308" s="31"/>
    </row>
    <row r="309" spans="1:6" x14ac:dyDescent="0.25">
      <c r="A309"/>
      <c r="B309" s="30"/>
      <c r="F309" s="31"/>
    </row>
    <row r="310" spans="1:6" x14ac:dyDescent="0.25">
      <c r="A310"/>
      <c r="B310" s="30"/>
      <c r="F310" s="31"/>
    </row>
    <row r="311" spans="1:6" x14ac:dyDescent="0.25">
      <c r="A311"/>
      <c r="B311" s="30"/>
      <c r="F311" s="31"/>
    </row>
    <row r="312" spans="1:6" x14ac:dyDescent="0.25">
      <c r="A312"/>
      <c r="B312" s="30"/>
      <c r="F312" s="31"/>
    </row>
    <row r="313" spans="1:6" x14ac:dyDescent="0.25">
      <c r="A313"/>
      <c r="B313" s="30"/>
      <c r="F313" s="31"/>
    </row>
    <row r="314" spans="1:6" x14ac:dyDescent="0.25">
      <c r="A314"/>
      <c r="B314" s="30"/>
      <c r="F314" s="31"/>
    </row>
    <row r="315" spans="1:6" x14ac:dyDescent="0.25">
      <c r="A315"/>
      <c r="B315" s="30"/>
      <c r="F315" s="31"/>
    </row>
    <row r="316" spans="1:6" x14ac:dyDescent="0.25">
      <c r="A316"/>
      <c r="B316" s="30"/>
      <c r="F316" s="31"/>
    </row>
    <row r="317" spans="1:6" x14ac:dyDescent="0.25">
      <c r="A317"/>
      <c r="B317" s="30"/>
      <c r="F317" s="31"/>
    </row>
    <row r="318" spans="1:6" x14ac:dyDescent="0.25">
      <c r="A318"/>
      <c r="B318" s="30"/>
      <c r="F318" s="31"/>
    </row>
    <row r="319" spans="1:6" x14ac:dyDescent="0.25">
      <c r="A319"/>
      <c r="B319" s="30"/>
      <c r="F319" s="31"/>
    </row>
    <row r="320" spans="1:6" x14ac:dyDescent="0.25">
      <c r="A320"/>
      <c r="B320" s="30"/>
      <c r="F320" s="31"/>
    </row>
    <row r="321" spans="1:6" x14ac:dyDescent="0.25">
      <c r="A321"/>
      <c r="B321" s="30"/>
      <c r="F321" s="31"/>
    </row>
    <row r="322" spans="1:6" x14ac:dyDescent="0.25">
      <c r="A322"/>
      <c r="B322" s="30"/>
      <c r="F322" s="31"/>
    </row>
    <row r="323" spans="1:6" x14ac:dyDescent="0.25">
      <c r="A323"/>
      <c r="B323" s="30"/>
      <c r="F323" s="31"/>
    </row>
    <row r="324" spans="1:6" x14ac:dyDescent="0.25">
      <c r="A324"/>
      <c r="B324" s="30"/>
      <c r="F324" s="31"/>
    </row>
    <row r="325" spans="1:6" x14ac:dyDescent="0.25">
      <c r="A325"/>
      <c r="B325" s="30"/>
      <c r="F325" s="31"/>
    </row>
    <row r="326" spans="1:6" x14ac:dyDescent="0.25">
      <c r="A326"/>
      <c r="B326" s="30"/>
      <c r="F326" s="31"/>
    </row>
    <row r="327" spans="1:6" x14ac:dyDescent="0.25">
      <c r="A327"/>
      <c r="B327" s="30"/>
      <c r="F327" s="31"/>
    </row>
    <row r="328" spans="1:6" x14ac:dyDescent="0.25">
      <c r="A328"/>
      <c r="B328" s="30"/>
      <c r="F328" s="31"/>
    </row>
    <row r="329" spans="1:6" x14ac:dyDescent="0.25">
      <c r="A329"/>
      <c r="B329" s="30"/>
      <c r="F329" s="31"/>
    </row>
    <row r="330" spans="1:6" x14ac:dyDescent="0.25">
      <c r="A330"/>
      <c r="B330" s="30"/>
      <c r="F330" s="31"/>
    </row>
    <row r="331" spans="1:6" x14ac:dyDescent="0.25">
      <c r="A331"/>
      <c r="B331" s="30"/>
      <c r="F331" s="31"/>
    </row>
    <row r="332" spans="1:6" x14ac:dyDescent="0.25">
      <c r="A332"/>
      <c r="B332" s="30"/>
      <c r="F332" s="31"/>
    </row>
    <row r="333" spans="1:6" x14ac:dyDescent="0.25">
      <c r="A333"/>
      <c r="B333" s="30"/>
      <c r="F333" s="31"/>
    </row>
    <row r="334" spans="1:6" x14ac:dyDescent="0.25">
      <c r="A334"/>
      <c r="B334" s="30"/>
      <c r="F334" s="31"/>
    </row>
    <row r="335" spans="1:6" x14ac:dyDescent="0.25">
      <c r="A335"/>
      <c r="B335" s="30"/>
      <c r="F335" s="31"/>
    </row>
    <row r="336" spans="1:6" x14ac:dyDescent="0.25">
      <c r="A336"/>
      <c r="B336" s="30"/>
      <c r="F336" s="31"/>
    </row>
    <row r="337" spans="1:6" x14ac:dyDescent="0.25">
      <c r="A337"/>
      <c r="B337" s="30"/>
      <c r="F337" s="31"/>
    </row>
    <row r="338" spans="1:6" x14ac:dyDescent="0.25">
      <c r="A338"/>
      <c r="B338" s="30"/>
      <c r="F338" s="31"/>
    </row>
    <row r="339" spans="1:6" x14ac:dyDescent="0.25">
      <c r="A339"/>
      <c r="B339" s="30"/>
      <c r="F339" s="31"/>
    </row>
    <row r="340" spans="1:6" x14ac:dyDescent="0.25">
      <c r="A340"/>
      <c r="B340" s="30"/>
      <c r="F340" s="31"/>
    </row>
    <row r="341" spans="1:6" x14ac:dyDescent="0.25">
      <c r="A341"/>
      <c r="B341" s="30"/>
      <c r="F341" s="31"/>
    </row>
    <row r="342" spans="1:6" ht="13" thickBot="1" x14ac:dyDescent="0.3">
      <c r="A342"/>
      <c r="B342" s="32"/>
      <c r="C342" s="9"/>
      <c r="D342" s="9"/>
      <c r="E342" s="9"/>
      <c r="F342" s="3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4:BE111"/>
  <sheetViews>
    <sheetView topLeftCell="A16" workbookViewId="0">
      <selection activeCell="B37" sqref="B37:AD111"/>
    </sheetView>
  </sheetViews>
  <sheetFormatPr defaultRowHeight="12.5" x14ac:dyDescent="0.25"/>
  <cols>
    <col min="1" max="1" width="16.1796875" bestFit="1" customWidth="1"/>
    <col min="2" max="10" width="11.1796875" customWidth="1"/>
  </cols>
  <sheetData>
    <row r="34" spans="1:57" x14ac:dyDescent="0.25">
      <c r="A34" s="18" t="s">
        <v>8</v>
      </c>
      <c r="B34" s="19" t="e">
        <f t="shared" ref="B34:AG34" si="0">INDEX($A$47:$AN$111,MATCH(MAX(B47:B111),B47:B111,0),1)</f>
        <v>#N/A</v>
      </c>
      <c r="C34" s="19" t="e">
        <f t="shared" si="0"/>
        <v>#N/A</v>
      </c>
      <c r="D34" s="19" t="e">
        <f t="shared" si="0"/>
        <v>#N/A</v>
      </c>
      <c r="E34" s="19" t="e">
        <f t="shared" si="0"/>
        <v>#N/A</v>
      </c>
      <c r="F34" s="19" t="e">
        <f t="shared" si="0"/>
        <v>#N/A</v>
      </c>
      <c r="G34" s="19" t="e">
        <f t="shared" si="0"/>
        <v>#N/A</v>
      </c>
      <c r="H34" s="19" t="e">
        <f t="shared" si="0"/>
        <v>#N/A</v>
      </c>
      <c r="I34" s="19" t="e">
        <f t="shared" si="0"/>
        <v>#N/A</v>
      </c>
      <c r="J34" s="19" t="e">
        <f t="shared" si="0"/>
        <v>#N/A</v>
      </c>
      <c r="K34" s="19" t="e">
        <f t="shared" si="0"/>
        <v>#N/A</v>
      </c>
      <c r="L34" s="19" t="e">
        <f t="shared" si="0"/>
        <v>#N/A</v>
      </c>
      <c r="M34" s="19" t="e">
        <f t="shared" si="0"/>
        <v>#N/A</v>
      </c>
      <c r="N34" s="19" t="e">
        <f t="shared" si="0"/>
        <v>#N/A</v>
      </c>
      <c r="O34" s="19" t="e">
        <f t="shared" si="0"/>
        <v>#N/A</v>
      </c>
      <c r="P34" s="19" t="e">
        <f t="shared" si="0"/>
        <v>#N/A</v>
      </c>
      <c r="Q34" s="19" t="e">
        <f t="shared" si="0"/>
        <v>#N/A</v>
      </c>
      <c r="R34" s="19" t="e">
        <f t="shared" si="0"/>
        <v>#N/A</v>
      </c>
      <c r="S34" s="19" t="e">
        <f t="shared" si="0"/>
        <v>#N/A</v>
      </c>
      <c r="T34" s="19" t="e">
        <f t="shared" si="0"/>
        <v>#N/A</v>
      </c>
      <c r="U34" s="19" t="e">
        <f t="shared" si="0"/>
        <v>#N/A</v>
      </c>
      <c r="V34" s="19" t="e">
        <f t="shared" si="0"/>
        <v>#N/A</v>
      </c>
      <c r="W34" s="19" t="e">
        <f t="shared" si="0"/>
        <v>#N/A</v>
      </c>
      <c r="X34" s="19" t="e">
        <f t="shared" si="0"/>
        <v>#N/A</v>
      </c>
      <c r="Y34" s="19" t="e">
        <f t="shared" si="0"/>
        <v>#N/A</v>
      </c>
      <c r="Z34" s="19" t="e">
        <f t="shared" si="0"/>
        <v>#N/A</v>
      </c>
      <c r="AA34" s="19" t="e">
        <f t="shared" si="0"/>
        <v>#N/A</v>
      </c>
      <c r="AB34" s="19" t="e">
        <f t="shared" si="0"/>
        <v>#N/A</v>
      </c>
      <c r="AC34" s="19" t="e">
        <f t="shared" si="0"/>
        <v>#N/A</v>
      </c>
      <c r="AD34" s="19" t="e">
        <f t="shared" si="0"/>
        <v>#N/A</v>
      </c>
      <c r="AE34" s="19" t="e">
        <f t="shared" si="0"/>
        <v>#N/A</v>
      </c>
      <c r="AF34" s="19" t="e">
        <f t="shared" si="0"/>
        <v>#N/A</v>
      </c>
      <c r="AG34" s="19" t="e">
        <f t="shared" si="0"/>
        <v>#N/A</v>
      </c>
      <c r="AH34" s="19" t="e">
        <f t="shared" ref="AH34:BE34" si="1">INDEX($A$47:$AN$111,MATCH(MAX(AH47:AH111),AH47:AH111,0),1)</f>
        <v>#N/A</v>
      </c>
      <c r="AI34" s="19" t="e">
        <f t="shared" si="1"/>
        <v>#N/A</v>
      </c>
      <c r="AJ34" s="19" t="e">
        <f t="shared" si="1"/>
        <v>#N/A</v>
      </c>
      <c r="AK34" s="19" t="e">
        <f t="shared" si="1"/>
        <v>#N/A</v>
      </c>
      <c r="AL34" s="19" t="e">
        <f t="shared" si="1"/>
        <v>#N/A</v>
      </c>
      <c r="AM34" s="19" t="e">
        <f t="shared" si="1"/>
        <v>#N/A</v>
      </c>
      <c r="AN34" s="19" t="e">
        <f t="shared" si="1"/>
        <v>#N/A</v>
      </c>
      <c r="AO34" s="19" t="e">
        <f t="shared" si="1"/>
        <v>#N/A</v>
      </c>
      <c r="AP34" s="19" t="e">
        <f t="shared" si="1"/>
        <v>#N/A</v>
      </c>
      <c r="AQ34" s="19" t="e">
        <f t="shared" si="1"/>
        <v>#N/A</v>
      </c>
      <c r="AR34" s="19" t="e">
        <f t="shared" si="1"/>
        <v>#N/A</v>
      </c>
      <c r="AS34" s="19" t="e">
        <f t="shared" si="1"/>
        <v>#N/A</v>
      </c>
      <c r="AT34" s="19" t="e">
        <f t="shared" si="1"/>
        <v>#N/A</v>
      </c>
      <c r="AU34" s="19" t="e">
        <f t="shared" si="1"/>
        <v>#N/A</v>
      </c>
      <c r="AV34" s="19" t="e">
        <f t="shared" si="1"/>
        <v>#N/A</v>
      </c>
      <c r="AW34" s="19" t="e">
        <f t="shared" si="1"/>
        <v>#N/A</v>
      </c>
      <c r="AX34" s="19" t="e">
        <f t="shared" si="1"/>
        <v>#N/A</v>
      </c>
      <c r="AY34" s="19" t="e">
        <f t="shared" si="1"/>
        <v>#N/A</v>
      </c>
      <c r="AZ34" s="19" t="e">
        <f t="shared" si="1"/>
        <v>#N/A</v>
      </c>
      <c r="BA34" s="19" t="e">
        <f t="shared" si="1"/>
        <v>#N/A</v>
      </c>
      <c r="BB34" s="19" t="e">
        <f t="shared" si="1"/>
        <v>#N/A</v>
      </c>
      <c r="BC34" s="19" t="e">
        <f t="shared" si="1"/>
        <v>#N/A</v>
      </c>
      <c r="BD34" s="19" t="e">
        <f t="shared" si="1"/>
        <v>#N/A</v>
      </c>
      <c r="BE34" s="19" t="e">
        <f t="shared" si="1"/>
        <v>#N/A</v>
      </c>
    </row>
    <row r="35" spans="1:57" x14ac:dyDescent="0.25">
      <c r="A35" s="18" t="s">
        <v>9</v>
      </c>
      <c r="B35" s="19" t="e">
        <f t="shared" ref="B35:AG35" si="2">AVERAGE(B47:B111)</f>
        <v>#DIV/0!</v>
      </c>
      <c r="C35" s="19" t="e">
        <f t="shared" si="2"/>
        <v>#DIV/0!</v>
      </c>
      <c r="D35" s="19" t="e">
        <f t="shared" si="2"/>
        <v>#DIV/0!</v>
      </c>
      <c r="E35" s="19" t="e">
        <f t="shared" si="2"/>
        <v>#DIV/0!</v>
      </c>
      <c r="F35" s="19" t="e">
        <f t="shared" si="2"/>
        <v>#DIV/0!</v>
      </c>
      <c r="G35" s="19" t="e">
        <f t="shared" si="2"/>
        <v>#DIV/0!</v>
      </c>
      <c r="H35" s="19" t="e">
        <f t="shared" si="2"/>
        <v>#DIV/0!</v>
      </c>
      <c r="I35" s="19" t="e">
        <f t="shared" si="2"/>
        <v>#DIV/0!</v>
      </c>
      <c r="J35" s="19" t="e">
        <f t="shared" si="2"/>
        <v>#DIV/0!</v>
      </c>
      <c r="K35" s="19" t="e">
        <f t="shared" si="2"/>
        <v>#DIV/0!</v>
      </c>
      <c r="L35" s="19" t="e">
        <f t="shared" si="2"/>
        <v>#DIV/0!</v>
      </c>
      <c r="M35" s="19" t="e">
        <f t="shared" si="2"/>
        <v>#DIV/0!</v>
      </c>
      <c r="N35" s="19" t="e">
        <f t="shared" si="2"/>
        <v>#DIV/0!</v>
      </c>
      <c r="O35" s="19" t="e">
        <f t="shared" si="2"/>
        <v>#DIV/0!</v>
      </c>
      <c r="P35" s="19" t="e">
        <f t="shared" si="2"/>
        <v>#DIV/0!</v>
      </c>
      <c r="Q35" s="19" t="e">
        <f t="shared" si="2"/>
        <v>#DIV/0!</v>
      </c>
      <c r="R35" s="19" t="e">
        <f t="shared" si="2"/>
        <v>#DIV/0!</v>
      </c>
      <c r="S35" s="19" t="e">
        <f t="shared" si="2"/>
        <v>#DIV/0!</v>
      </c>
      <c r="T35" s="19" t="e">
        <f t="shared" si="2"/>
        <v>#DIV/0!</v>
      </c>
      <c r="U35" s="19" t="e">
        <f t="shared" si="2"/>
        <v>#DIV/0!</v>
      </c>
      <c r="V35" s="19" t="e">
        <f t="shared" si="2"/>
        <v>#DIV/0!</v>
      </c>
      <c r="W35" s="19" t="e">
        <f t="shared" si="2"/>
        <v>#DIV/0!</v>
      </c>
      <c r="X35" s="19" t="e">
        <f t="shared" si="2"/>
        <v>#DIV/0!</v>
      </c>
      <c r="Y35" s="19" t="e">
        <f t="shared" si="2"/>
        <v>#DIV/0!</v>
      </c>
      <c r="Z35" s="19" t="e">
        <f t="shared" si="2"/>
        <v>#DIV/0!</v>
      </c>
      <c r="AA35" s="19" t="e">
        <f t="shared" si="2"/>
        <v>#DIV/0!</v>
      </c>
      <c r="AB35" s="19" t="e">
        <f t="shared" si="2"/>
        <v>#DIV/0!</v>
      </c>
      <c r="AC35" s="19" t="e">
        <f t="shared" si="2"/>
        <v>#DIV/0!</v>
      </c>
      <c r="AD35" s="19" t="e">
        <f t="shared" si="2"/>
        <v>#DIV/0!</v>
      </c>
      <c r="AE35" s="19" t="e">
        <f t="shared" si="2"/>
        <v>#DIV/0!</v>
      </c>
      <c r="AF35" s="19" t="e">
        <f t="shared" si="2"/>
        <v>#DIV/0!</v>
      </c>
      <c r="AG35" s="19" t="e">
        <f t="shared" si="2"/>
        <v>#DIV/0!</v>
      </c>
      <c r="AH35" s="19" t="e">
        <f t="shared" ref="AH35:BE35" si="3">AVERAGE(AH47:AH111)</f>
        <v>#DIV/0!</v>
      </c>
      <c r="AI35" s="19" t="e">
        <f t="shared" si="3"/>
        <v>#DIV/0!</v>
      </c>
      <c r="AJ35" s="19" t="e">
        <f t="shared" si="3"/>
        <v>#DIV/0!</v>
      </c>
      <c r="AK35" s="19" t="e">
        <f t="shared" si="3"/>
        <v>#DIV/0!</v>
      </c>
      <c r="AL35" s="19" t="e">
        <f t="shared" si="3"/>
        <v>#DIV/0!</v>
      </c>
      <c r="AM35" s="19" t="e">
        <f t="shared" si="3"/>
        <v>#DIV/0!</v>
      </c>
      <c r="AN35" s="19" t="e">
        <f t="shared" si="3"/>
        <v>#DIV/0!</v>
      </c>
      <c r="AO35" s="19" t="e">
        <f t="shared" si="3"/>
        <v>#DIV/0!</v>
      </c>
      <c r="AP35" s="19" t="e">
        <f t="shared" si="3"/>
        <v>#DIV/0!</v>
      </c>
      <c r="AQ35" s="19" t="e">
        <f t="shared" si="3"/>
        <v>#DIV/0!</v>
      </c>
      <c r="AR35" s="19" t="e">
        <f t="shared" si="3"/>
        <v>#DIV/0!</v>
      </c>
      <c r="AS35" s="19" t="e">
        <f t="shared" si="3"/>
        <v>#DIV/0!</v>
      </c>
      <c r="AT35" s="19" t="e">
        <f t="shared" si="3"/>
        <v>#DIV/0!</v>
      </c>
      <c r="AU35" s="19" t="e">
        <f t="shared" si="3"/>
        <v>#DIV/0!</v>
      </c>
      <c r="AV35" s="19" t="e">
        <f t="shared" si="3"/>
        <v>#DIV/0!</v>
      </c>
      <c r="AW35" s="19" t="e">
        <f t="shared" si="3"/>
        <v>#DIV/0!</v>
      </c>
      <c r="AX35" s="19" t="e">
        <f t="shared" si="3"/>
        <v>#DIV/0!</v>
      </c>
      <c r="AY35" s="19" t="e">
        <f t="shared" si="3"/>
        <v>#DIV/0!</v>
      </c>
      <c r="AZ35" s="19" t="e">
        <f t="shared" si="3"/>
        <v>#DIV/0!</v>
      </c>
      <c r="BA35" s="19" t="e">
        <f t="shared" si="3"/>
        <v>#DIV/0!</v>
      </c>
      <c r="BB35" s="19" t="e">
        <f t="shared" si="3"/>
        <v>#DIV/0!</v>
      </c>
      <c r="BC35" s="19" t="e">
        <f t="shared" si="3"/>
        <v>#DIV/0!</v>
      </c>
      <c r="BD35" s="19" t="e">
        <f t="shared" si="3"/>
        <v>#DIV/0!</v>
      </c>
      <c r="BE35" s="19" t="e">
        <f t="shared" si="3"/>
        <v>#DIV/0!</v>
      </c>
    </row>
    <row r="36" spans="1:57" ht="12.75" customHeight="1" thickBot="1" x14ac:dyDescent="0.3"/>
    <row r="37" spans="1:57" ht="13" x14ac:dyDescent="0.3">
      <c r="A37" s="10" t="s">
        <v>0</v>
      </c>
      <c r="B37" s="11"/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</row>
    <row r="38" spans="1:57" s="15" customFormat="1" ht="13.5" thickBot="1" x14ac:dyDescent="0.35">
      <c r="A38" s="3" t="s">
        <v>1</v>
      </c>
      <c r="B38" s="4"/>
      <c r="C38" s="4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</row>
    <row r="39" spans="1:57" ht="13" x14ac:dyDescent="0.3">
      <c r="A39" s="5" t="s">
        <v>2</v>
      </c>
      <c r="B39" s="1"/>
      <c r="C39" s="8"/>
    </row>
    <row r="40" spans="1:57" ht="13" x14ac:dyDescent="0.3">
      <c r="A40" s="5" t="s">
        <v>3</v>
      </c>
      <c r="B40" s="1"/>
      <c r="C40" s="1"/>
    </row>
    <row r="41" spans="1:57" ht="13" x14ac:dyDescent="0.3">
      <c r="A41" s="5" t="s">
        <v>4</v>
      </c>
      <c r="B41" s="1"/>
      <c r="C41" s="1"/>
    </row>
    <row r="42" spans="1:57" ht="13" x14ac:dyDescent="0.3">
      <c r="A42" s="5" t="s">
        <v>5</v>
      </c>
      <c r="B42" s="1"/>
      <c r="C42" s="1"/>
    </row>
    <row r="43" spans="1:57" ht="13.5" thickBot="1" x14ac:dyDescent="0.35">
      <c r="A43" s="3" t="s">
        <v>6</v>
      </c>
      <c r="B43" s="2"/>
      <c r="C43" s="2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</row>
    <row r="44" spans="1:57" ht="13.5" thickBot="1" x14ac:dyDescent="0.35">
      <c r="A44" s="16"/>
      <c r="B44" s="1"/>
      <c r="C44" s="1"/>
    </row>
    <row r="45" spans="1:57" ht="13" x14ac:dyDescent="0.3">
      <c r="A45" s="13" t="s">
        <v>10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:57" ht="26.5" thickBot="1" x14ac:dyDescent="0.35">
      <c r="A46" s="14" t="s">
        <v>7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</row>
    <row r="47" spans="1:57" ht="13" x14ac:dyDescent="0.3">
      <c r="A47" s="6">
        <v>380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</row>
    <row r="48" spans="1:57" ht="13" x14ac:dyDescent="0.3">
      <c r="A48" s="5">
        <v>385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</row>
    <row r="49" spans="1:57" ht="13" x14ac:dyDescent="0.3">
      <c r="A49" s="5">
        <v>390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</row>
    <row r="50" spans="1:57" ht="13" x14ac:dyDescent="0.3">
      <c r="A50" s="5">
        <v>395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</row>
    <row r="51" spans="1:57" ht="13" x14ac:dyDescent="0.3">
      <c r="A51" s="5">
        <v>400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</row>
    <row r="52" spans="1:57" ht="13" x14ac:dyDescent="0.3">
      <c r="A52" s="5">
        <v>405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</row>
    <row r="53" spans="1:57" ht="13" x14ac:dyDescent="0.3">
      <c r="A53" s="5">
        <v>410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</row>
    <row r="54" spans="1:57" ht="13" x14ac:dyDescent="0.3">
      <c r="A54" s="5">
        <v>415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</row>
    <row r="55" spans="1:57" ht="13" x14ac:dyDescent="0.3">
      <c r="A55" s="5">
        <v>420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</row>
    <row r="56" spans="1:57" ht="13" x14ac:dyDescent="0.3">
      <c r="A56" s="5">
        <v>425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</row>
    <row r="57" spans="1:57" ht="13" x14ac:dyDescent="0.3">
      <c r="A57" s="5">
        <v>430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</row>
    <row r="58" spans="1:57" ht="13" x14ac:dyDescent="0.3">
      <c r="A58" s="5">
        <v>435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</row>
    <row r="59" spans="1:57" ht="13" x14ac:dyDescent="0.3">
      <c r="A59" s="5">
        <v>440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</row>
    <row r="60" spans="1:57" ht="13" x14ac:dyDescent="0.3">
      <c r="A60" s="5">
        <v>445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</row>
    <row r="61" spans="1:57" ht="13" x14ac:dyDescent="0.3">
      <c r="A61" s="5">
        <v>450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</row>
    <row r="62" spans="1:57" ht="13" x14ac:dyDescent="0.3">
      <c r="A62" s="5">
        <v>455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</row>
    <row r="63" spans="1:57" ht="13" x14ac:dyDescent="0.3">
      <c r="A63" s="5">
        <v>460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</row>
    <row r="64" spans="1:57" ht="13" x14ac:dyDescent="0.3">
      <c r="A64" s="5">
        <v>465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</row>
    <row r="65" spans="1:57" ht="13" x14ac:dyDescent="0.3">
      <c r="A65" s="5">
        <v>470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</row>
    <row r="66" spans="1:57" ht="13" x14ac:dyDescent="0.3">
      <c r="A66" s="5">
        <v>475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</row>
    <row r="67" spans="1:57" ht="13" x14ac:dyDescent="0.3">
      <c r="A67" s="5">
        <v>480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</row>
    <row r="68" spans="1:57" ht="13" x14ac:dyDescent="0.3">
      <c r="A68" s="5">
        <v>485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</row>
    <row r="69" spans="1:57" ht="13" x14ac:dyDescent="0.3">
      <c r="A69" s="5">
        <v>490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</row>
    <row r="70" spans="1:57" ht="13" x14ac:dyDescent="0.3">
      <c r="A70" s="5">
        <v>495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</row>
    <row r="71" spans="1:57" ht="13" x14ac:dyDescent="0.3">
      <c r="A71" s="5">
        <v>500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</row>
    <row r="72" spans="1:57" ht="13" x14ac:dyDescent="0.3">
      <c r="A72" s="5">
        <v>505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</row>
    <row r="73" spans="1:57" ht="13" x14ac:dyDescent="0.3">
      <c r="A73" s="5">
        <v>510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</row>
    <row r="74" spans="1:57" ht="13" x14ac:dyDescent="0.3">
      <c r="A74" s="5">
        <v>515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</row>
    <row r="75" spans="1:57" ht="13" x14ac:dyDescent="0.3">
      <c r="A75" s="5">
        <v>520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</row>
    <row r="76" spans="1:57" ht="13" x14ac:dyDescent="0.3">
      <c r="A76" s="5">
        <v>525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</row>
    <row r="77" spans="1:57" ht="13" x14ac:dyDescent="0.3">
      <c r="A77" s="5">
        <v>530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</row>
    <row r="78" spans="1:57" ht="13" x14ac:dyDescent="0.3">
      <c r="A78" s="5">
        <v>535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</row>
    <row r="79" spans="1:57" ht="13" x14ac:dyDescent="0.3">
      <c r="A79" s="5">
        <v>540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</row>
    <row r="80" spans="1:57" ht="13" x14ac:dyDescent="0.3">
      <c r="A80" s="5">
        <v>545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</row>
    <row r="81" spans="1:57" ht="13" x14ac:dyDescent="0.3">
      <c r="A81" s="5">
        <v>550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</row>
    <row r="82" spans="1:57" ht="13" x14ac:dyDescent="0.3">
      <c r="A82" s="5">
        <v>555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</row>
    <row r="83" spans="1:57" ht="13" x14ac:dyDescent="0.3">
      <c r="A83" s="5">
        <v>560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</row>
    <row r="84" spans="1:57" ht="13" x14ac:dyDescent="0.3">
      <c r="A84" s="5">
        <v>565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</row>
    <row r="85" spans="1:57" ht="13" x14ac:dyDescent="0.3">
      <c r="A85" s="5">
        <v>570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</row>
    <row r="86" spans="1:57" ht="13" x14ac:dyDescent="0.3">
      <c r="A86" s="5">
        <v>575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</row>
    <row r="87" spans="1:57" ht="13" x14ac:dyDescent="0.3">
      <c r="A87" s="5">
        <v>580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</row>
    <row r="88" spans="1:57" ht="13" x14ac:dyDescent="0.3">
      <c r="A88" s="5">
        <v>585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</row>
    <row r="89" spans="1:57" ht="13" x14ac:dyDescent="0.3">
      <c r="A89" s="5">
        <v>590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</row>
    <row r="90" spans="1:57" ht="13" x14ac:dyDescent="0.3">
      <c r="A90" s="5">
        <v>595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</row>
    <row r="91" spans="1:57" ht="13" x14ac:dyDescent="0.3">
      <c r="A91" s="5">
        <v>600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</row>
    <row r="92" spans="1:57" ht="13" x14ac:dyDescent="0.3">
      <c r="A92" s="5">
        <v>605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</row>
    <row r="93" spans="1:57" ht="13" x14ac:dyDescent="0.3">
      <c r="A93" s="5">
        <v>610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</row>
    <row r="94" spans="1:57" ht="13" x14ac:dyDescent="0.3">
      <c r="A94" s="5">
        <v>615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</row>
    <row r="95" spans="1:57" ht="13" x14ac:dyDescent="0.3">
      <c r="A95" s="5">
        <v>620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</row>
    <row r="96" spans="1:57" ht="13" x14ac:dyDescent="0.3">
      <c r="A96" s="5">
        <v>625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</row>
    <row r="97" spans="1:57" ht="13" x14ac:dyDescent="0.3">
      <c r="A97" s="5">
        <v>630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</row>
    <row r="98" spans="1:57" ht="13" x14ac:dyDescent="0.3">
      <c r="A98" s="5">
        <v>635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</row>
    <row r="99" spans="1:57" ht="13" x14ac:dyDescent="0.3">
      <c r="A99" s="5">
        <v>640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</row>
    <row r="100" spans="1:57" ht="13" x14ac:dyDescent="0.3">
      <c r="A100" s="5">
        <v>645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</row>
    <row r="101" spans="1:57" ht="13" x14ac:dyDescent="0.3">
      <c r="A101" s="5">
        <v>650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</row>
    <row r="102" spans="1:57" ht="13" x14ac:dyDescent="0.3">
      <c r="A102" s="5">
        <v>655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</row>
    <row r="103" spans="1:57" ht="13" x14ac:dyDescent="0.3">
      <c r="A103" s="5">
        <v>660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</row>
    <row r="104" spans="1:57" ht="13" x14ac:dyDescent="0.3">
      <c r="A104" s="5">
        <v>665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</row>
    <row r="105" spans="1:57" ht="13" x14ac:dyDescent="0.3">
      <c r="A105" s="5">
        <v>670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</row>
    <row r="106" spans="1:57" ht="13" x14ac:dyDescent="0.3">
      <c r="A106" s="5">
        <v>675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</row>
    <row r="107" spans="1:57" ht="13" x14ac:dyDescent="0.3">
      <c r="A107" s="5">
        <v>680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</row>
    <row r="108" spans="1:57" ht="13" x14ac:dyDescent="0.3">
      <c r="A108" s="5">
        <v>685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</row>
    <row r="109" spans="1:57" ht="13" x14ac:dyDescent="0.3">
      <c r="A109" s="5">
        <v>690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</row>
    <row r="110" spans="1:57" ht="13" x14ac:dyDescent="0.3">
      <c r="A110" s="5">
        <v>695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</row>
    <row r="111" spans="1:57" ht="13.5" thickBot="1" x14ac:dyDescent="0.35">
      <c r="A111" s="3">
        <v>700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640B-5D04-4A57-A9DF-9CB16C1DAA6E}">
  <sheetPr codeName="Sheet4"/>
  <dimension ref="A34:BE114"/>
  <sheetViews>
    <sheetView topLeftCell="AO19" workbookViewId="0">
      <selection activeCell="B37" sqref="B37:AD114"/>
    </sheetView>
  </sheetViews>
  <sheetFormatPr defaultRowHeight="12.5" x14ac:dyDescent="0.25"/>
  <cols>
    <col min="1" max="1" width="16.1796875" bestFit="1" customWidth="1"/>
    <col min="2" max="10" width="11.1796875" customWidth="1"/>
  </cols>
  <sheetData>
    <row r="34" spans="1:57" x14ac:dyDescent="0.25">
      <c r="A34" s="18" t="s">
        <v>8</v>
      </c>
      <c r="B34" s="19" t="e">
        <f t="shared" ref="B34:BE34" si="0">INDEX($A$50:$AN$114,MATCH(MAX(B50:B114),B50:B114,0),1)</f>
        <v>#N/A</v>
      </c>
      <c r="C34" s="19" t="e">
        <f t="shared" si="0"/>
        <v>#N/A</v>
      </c>
      <c r="D34" s="19" t="e">
        <f t="shared" si="0"/>
        <v>#N/A</v>
      </c>
      <c r="E34" s="19" t="e">
        <f t="shared" si="0"/>
        <v>#N/A</v>
      </c>
      <c r="F34" s="19" t="e">
        <f t="shared" si="0"/>
        <v>#N/A</v>
      </c>
      <c r="G34" s="19" t="e">
        <f t="shared" si="0"/>
        <v>#N/A</v>
      </c>
      <c r="H34" s="19" t="e">
        <f t="shared" si="0"/>
        <v>#N/A</v>
      </c>
      <c r="I34" s="19" t="e">
        <f t="shared" si="0"/>
        <v>#N/A</v>
      </c>
      <c r="J34" s="19" t="e">
        <f t="shared" si="0"/>
        <v>#N/A</v>
      </c>
      <c r="K34" s="19" t="e">
        <f t="shared" si="0"/>
        <v>#N/A</v>
      </c>
      <c r="L34" s="19" t="e">
        <f t="shared" si="0"/>
        <v>#N/A</v>
      </c>
      <c r="M34" s="19" t="e">
        <f t="shared" si="0"/>
        <v>#N/A</v>
      </c>
      <c r="N34" s="19" t="e">
        <f t="shared" si="0"/>
        <v>#N/A</v>
      </c>
      <c r="O34" s="19" t="e">
        <f t="shared" si="0"/>
        <v>#N/A</v>
      </c>
      <c r="P34" s="19" t="e">
        <f t="shared" si="0"/>
        <v>#N/A</v>
      </c>
      <c r="Q34" s="19" t="e">
        <f t="shared" si="0"/>
        <v>#N/A</v>
      </c>
      <c r="R34" s="19" t="e">
        <f t="shared" si="0"/>
        <v>#N/A</v>
      </c>
      <c r="S34" s="19" t="e">
        <f t="shared" si="0"/>
        <v>#N/A</v>
      </c>
      <c r="T34" s="19" t="e">
        <f t="shared" si="0"/>
        <v>#N/A</v>
      </c>
      <c r="U34" s="19" t="e">
        <f t="shared" si="0"/>
        <v>#N/A</v>
      </c>
      <c r="V34" s="19" t="e">
        <f t="shared" si="0"/>
        <v>#N/A</v>
      </c>
      <c r="W34" s="19" t="e">
        <f t="shared" si="0"/>
        <v>#N/A</v>
      </c>
      <c r="X34" s="19" t="e">
        <f t="shared" si="0"/>
        <v>#N/A</v>
      </c>
      <c r="Y34" s="19" t="e">
        <f t="shared" si="0"/>
        <v>#N/A</v>
      </c>
      <c r="Z34" s="19" t="e">
        <f t="shared" si="0"/>
        <v>#N/A</v>
      </c>
      <c r="AA34" s="19" t="e">
        <f t="shared" si="0"/>
        <v>#N/A</v>
      </c>
      <c r="AB34" s="19" t="e">
        <f t="shared" si="0"/>
        <v>#N/A</v>
      </c>
      <c r="AC34" s="19" t="e">
        <f t="shared" si="0"/>
        <v>#N/A</v>
      </c>
      <c r="AD34" s="19" t="e">
        <f t="shared" si="0"/>
        <v>#N/A</v>
      </c>
      <c r="AE34" s="19" t="e">
        <f t="shared" si="0"/>
        <v>#N/A</v>
      </c>
      <c r="AF34" s="19" t="e">
        <f t="shared" si="0"/>
        <v>#N/A</v>
      </c>
      <c r="AG34" s="19" t="e">
        <f t="shared" si="0"/>
        <v>#N/A</v>
      </c>
      <c r="AH34" s="19" t="e">
        <f t="shared" si="0"/>
        <v>#N/A</v>
      </c>
      <c r="AI34" s="19" t="e">
        <f t="shared" si="0"/>
        <v>#N/A</v>
      </c>
      <c r="AJ34" s="19" t="e">
        <f t="shared" si="0"/>
        <v>#N/A</v>
      </c>
      <c r="AK34" s="19" t="e">
        <f t="shared" si="0"/>
        <v>#N/A</v>
      </c>
      <c r="AL34" s="19" t="e">
        <f t="shared" si="0"/>
        <v>#N/A</v>
      </c>
      <c r="AM34" s="19" t="e">
        <f t="shared" si="0"/>
        <v>#N/A</v>
      </c>
      <c r="AN34" s="19" t="e">
        <f t="shared" si="0"/>
        <v>#N/A</v>
      </c>
      <c r="AO34" s="19" t="e">
        <f t="shared" si="0"/>
        <v>#N/A</v>
      </c>
      <c r="AP34" s="19" t="e">
        <f t="shared" si="0"/>
        <v>#N/A</v>
      </c>
      <c r="AQ34" s="19" t="e">
        <f t="shared" si="0"/>
        <v>#N/A</v>
      </c>
      <c r="AR34" s="19" t="e">
        <f t="shared" si="0"/>
        <v>#N/A</v>
      </c>
      <c r="AS34" s="19" t="e">
        <f t="shared" si="0"/>
        <v>#N/A</v>
      </c>
      <c r="AT34" s="19" t="e">
        <f t="shared" si="0"/>
        <v>#N/A</v>
      </c>
      <c r="AU34" s="19" t="e">
        <f t="shared" si="0"/>
        <v>#N/A</v>
      </c>
      <c r="AV34" s="19" t="e">
        <f t="shared" si="0"/>
        <v>#N/A</v>
      </c>
      <c r="AW34" s="19" t="e">
        <f t="shared" si="0"/>
        <v>#N/A</v>
      </c>
      <c r="AX34" s="19" t="e">
        <f t="shared" si="0"/>
        <v>#N/A</v>
      </c>
      <c r="AY34" s="19" t="e">
        <f t="shared" si="0"/>
        <v>#N/A</v>
      </c>
      <c r="AZ34" s="19" t="e">
        <f t="shared" si="0"/>
        <v>#N/A</v>
      </c>
      <c r="BA34" s="19" t="e">
        <f t="shared" si="0"/>
        <v>#N/A</v>
      </c>
      <c r="BB34" s="19" t="e">
        <f t="shared" si="0"/>
        <v>#N/A</v>
      </c>
      <c r="BC34" s="19" t="e">
        <f t="shared" si="0"/>
        <v>#N/A</v>
      </c>
      <c r="BD34" s="19" t="e">
        <f t="shared" si="0"/>
        <v>#N/A</v>
      </c>
      <c r="BE34" s="19" t="e">
        <f t="shared" si="0"/>
        <v>#N/A</v>
      </c>
    </row>
    <row r="35" spans="1:57" x14ac:dyDescent="0.25">
      <c r="A35" s="18" t="s">
        <v>9</v>
      </c>
      <c r="B35" s="19" t="e">
        <f t="shared" ref="B35:BE35" si="1">AVERAGE(B50:B114)</f>
        <v>#DIV/0!</v>
      </c>
      <c r="C35" s="19" t="e">
        <f t="shared" si="1"/>
        <v>#DIV/0!</v>
      </c>
      <c r="D35" s="19" t="e">
        <f t="shared" si="1"/>
        <v>#DIV/0!</v>
      </c>
      <c r="E35" s="19" t="e">
        <f t="shared" si="1"/>
        <v>#DIV/0!</v>
      </c>
      <c r="F35" s="19" t="e">
        <f t="shared" si="1"/>
        <v>#DIV/0!</v>
      </c>
      <c r="G35" s="19" t="e">
        <f t="shared" si="1"/>
        <v>#DIV/0!</v>
      </c>
      <c r="H35" s="19" t="e">
        <f t="shared" si="1"/>
        <v>#DIV/0!</v>
      </c>
      <c r="I35" s="19" t="e">
        <f t="shared" si="1"/>
        <v>#DIV/0!</v>
      </c>
      <c r="J35" s="19" t="e">
        <f t="shared" si="1"/>
        <v>#DIV/0!</v>
      </c>
      <c r="K35" s="19" t="e">
        <f t="shared" si="1"/>
        <v>#DIV/0!</v>
      </c>
      <c r="L35" s="19" t="e">
        <f t="shared" si="1"/>
        <v>#DIV/0!</v>
      </c>
      <c r="M35" s="19" t="e">
        <f t="shared" si="1"/>
        <v>#DIV/0!</v>
      </c>
      <c r="N35" s="19" t="e">
        <f t="shared" si="1"/>
        <v>#DIV/0!</v>
      </c>
      <c r="O35" s="19" t="e">
        <f t="shared" si="1"/>
        <v>#DIV/0!</v>
      </c>
      <c r="P35" s="19" t="e">
        <f t="shared" si="1"/>
        <v>#DIV/0!</v>
      </c>
      <c r="Q35" s="19" t="e">
        <f t="shared" si="1"/>
        <v>#DIV/0!</v>
      </c>
      <c r="R35" s="19" t="e">
        <f t="shared" si="1"/>
        <v>#DIV/0!</v>
      </c>
      <c r="S35" s="19" t="e">
        <f t="shared" si="1"/>
        <v>#DIV/0!</v>
      </c>
      <c r="T35" s="19" t="e">
        <f t="shared" si="1"/>
        <v>#DIV/0!</v>
      </c>
      <c r="U35" s="19" t="e">
        <f t="shared" si="1"/>
        <v>#DIV/0!</v>
      </c>
      <c r="V35" s="19" t="e">
        <f t="shared" si="1"/>
        <v>#DIV/0!</v>
      </c>
      <c r="W35" s="19" t="e">
        <f t="shared" si="1"/>
        <v>#DIV/0!</v>
      </c>
      <c r="X35" s="19" t="e">
        <f t="shared" si="1"/>
        <v>#DIV/0!</v>
      </c>
      <c r="Y35" s="19" t="e">
        <f t="shared" si="1"/>
        <v>#DIV/0!</v>
      </c>
      <c r="Z35" s="19" t="e">
        <f t="shared" si="1"/>
        <v>#DIV/0!</v>
      </c>
      <c r="AA35" s="19" t="e">
        <f t="shared" si="1"/>
        <v>#DIV/0!</v>
      </c>
      <c r="AB35" s="19" t="e">
        <f t="shared" si="1"/>
        <v>#DIV/0!</v>
      </c>
      <c r="AC35" s="19" t="e">
        <f t="shared" si="1"/>
        <v>#DIV/0!</v>
      </c>
      <c r="AD35" s="19" t="e">
        <f t="shared" si="1"/>
        <v>#DIV/0!</v>
      </c>
      <c r="AE35" s="19" t="e">
        <f t="shared" si="1"/>
        <v>#DIV/0!</v>
      </c>
      <c r="AF35" s="19" t="e">
        <f t="shared" si="1"/>
        <v>#DIV/0!</v>
      </c>
      <c r="AG35" s="19" t="e">
        <f t="shared" si="1"/>
        <v>#DIV/0!</v>
      </c>
      <c r="AH35" s="19" t="e">
        <f t="shared" si="1"/>
        <v>#DIV/0!</v>
      </c>
      <c r="AI35" s="19" t="e">
        <f t="shared" si="1"/>
        <v>#DIV/0!</v>
      </c>
      <c r="AJ35" s="19" t="e">
        <f t="shared" si="1"/>
        <v>#DIV/0!</v>
      </c>
      <c r="AK35" s="19" t="e">
        <f t="shared" si="1"/>
        <v>#DIV/0!</v>
      </c>
      <c r="AL35" s="19" t="e">
        <f t="shared" si="1"/>
        <v>#DIV/0!</v>
      </c>
      <c r="AM35" s="19" t="e">
        <f t="shared" si="1"/>
        <v>#DIV/0!</v>
      </c>
      <c r="AN35" s="19" t="e">
        <f t="shared" si="1"/>
        <v>#DIV/0!</v>
      </c>
      <c r="AO35" s="19" t="e">
        <f t="shared" si="1"/>
        <v>#DIV/0!</v>
      </c>
      <c r="AP35" s="19" t="e">
        <f t="shared" si="1"/>
        <v>#DIV/0!</v>
      </c>
      <c r="AQ35" s="19" t="e">
        <f t="shared" si="1"/>
        <v>#DIV/0!</v>
      </c>
      <c r="AR35" s="19" t="e">
        <f t="shared" si="1"/>
        <v>#DIV/0!</v>
      </c>
      <c r="AS35" s="19" t="e">
        <f t="shared" si="1"/>
        <v>#DIV/0!</v>
      </c>
      <c r="AT35" s="19" t="e">
        <f t="shared" si="1"/>
        <v>#DIV/0!</v>
      </c>
      <c r="AU35" s="19" t="e">
        <f t="shared" si="1"/>
        <v>#DIV/0!</v>
      </c>
      <c r="AV35" s="19" t="e">
        <f t="shared" si="1"/>
        <v>#DIV/0!</v>
      </c>
      <c r="AW35" s="19" t="e">
        <f t="shared" si="1"/>
        <v>#DIV/0!</v>
      </c>
      <c r="AX35" s="19" t="e">
        <f t="shared" si="1"/>
        <v>#DIV/0!</v>
      </c>
      <c r="AY35" s="19" t="e">
        <f t="shared" si="1"/>
        <v>#DIV/0!</v>
      </c>
      <c r="AZ35" s="19" t="e">
        <f t="shared" si="1"/>
        <v>#DIV/0!</v>
      </c>
      <c r="BA35" s="19" t="e">
        <f t="shared" si="1"/>
        <v>#DIV/0!</v>
      </c>
      <c r="BB35" s="19" t="e">
        <f t="shared" si="1"/>
        <v>#DIV/0!</v>
      </c>
      <c r="BC35" s="19" t="e">
        <f t="shared" si="1"/>
        <v>#DIV/0!</v>
      </c>
      <c r="BD35" s="19" t="e">
        <f t="shared" si="1"/>
        <v>#DIV/0!</v>
      </c>
      <c r="BE35" s="19" t="e">
        <f t="shared" si="1"/>
        <v>#DIV/0!</v>
      </c>
    </row>
    <row r="36" spans="1:57" ht="12.75" customHeight="1" thickBot="1" x14ac:dyDescent="0.3"/>
    <row r="37" spans="1:57" ht="13" x14ac:dyDescent="0.3">
      <c r="A37" s="10" t="s">
        <v>0</v>
      </c>
      <c r="B37" s="11"/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</row>
    <row r="38" spans="1:57" s="15" customFormat="1" ht="13.5" thickBot="1" x14ac:dyDescent="0.35">
      <c r="A38" s="3" t="s">
        <v>1</v>
      </c>
      <c r="B38" s="4"/>
      <c r="C38" s="4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</row>
    <row r="39" spans="1:57" ht="13" x14ac:dyDescent="0.3">
      <c r="A39" s="5" t="s">
        <v>2</v>
      </c>
      <c r="B39" s="1"/>
      <c r="C39" s="8"/>
    </row>
    <row r="40" spans="1:57" ht="13" x14ac:dyDescent="0.3">
      <c r="A40" s="5" t="s">
        <v>3</v>
      </c>
      <c r="B40" s="1"/>
      <c r="C40" s="1"/>
    </row>
    <row r="41" spans="1:57" ht="13" x14ac:dyDescent="0.3">
      <c r="A41" s="5" t="s">
        <v>4</v>
      </c>
      <c r="B41" s="1"/>
      <c r="C41" s="1"/>
    </row>
    <row r="42" spans="1:57" ht="13" x14ac:dyDescent="0.3">
      <c r="A42" s="5" t="s">
        <v>5</v>
      </c>
      <c r="B42" s="1"/>
      <c r="C42" s="1"/>
    </row>
    <row r="43" spans="1:57" ht="13" x14ac:dyDescent="0.3">
      <c r="A43" s="5" t="s">
        <v>6</v>
      </c>
      <c r="B43" s="1"/>
      <c r="C43" s="1"/>
    </row>
    <row r="44" spans="1:57" ht="13" x14ac:dyDescent="0.3">
      <c r="A44" s="5" t="s">
        <v>11</v>
      </c>
      <c r="B44" s="1"/>
      <c r="C44" s="1"/>
    </row>
    <row r="45" spans="1:57" ht="13" x14ac:dyDescent="0.3">
      <c r="A45" s="5" t="s">
        <v>12</v>
      </c>
      <c r="B45" s="1"/>
      <c r="C45" s="1"/>
    </row>
    <row r="46" spans="1:57" ht="13.5" thickBot="1" x14ac:dyDescent="0.35">
      <c r="A46" s="3" t="s">
        <v>13</v>
      </c>
      <c r="B46" s="2"/>
      <c r="C46" s="2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ht="13.5" thickBot="1" x14ac:dyDescent="0.35">
      <c r="A47" s="16"/>
      <c r="B47" s="1"/>
      <c r="C47" s="1"/>
    </row>
    <row r="48" spans="1:57" ht="13" x14ac:dyDescent="0.3">
      <c r="A48" s="13" t="s">
        <v>10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ht="26.5" thickBot="1" x14ac:dyDescent="0.35">
      <c r="A49" s="14" t="s">
        <v>7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</row>
    <row r="50" spans="1:57" ht="13" x14ac:dyDescent="0.3">
      <c r="A50" s="6">
        <v>380</v>
      </c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</row>
    <row r="51" spans="1:57" ht="13" x14ac:dyDescent="0.3">
      <c r="A51" s="5">
        <v>385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</row>
    <row r="52" spans="1:57" ht="13" x14ac:dyDescent="0.3">
      <c r="A52" s="5">
        <v>390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</row>
    <row r="53" spans="1:57" ht="13" x14ac:dyDescent="0.3">
      <c r="A53" s="5">
        <v>395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</row>
    <row r="54" spans="1:57" ht="13" x14ac:dyDescent="0.3">
      <c r="A54" s="5">
        <v>400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</row>
    <row r="55" spans="1:57" ht="13" x14ac:dyDescent="0.3">
      <c r="A55" s="5">
        <v>405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</row>
    <row r="56" spans="1:57" ht="13" x14ac:dyDescent="0.3">
      <c r="A56" s="5">
        <v>410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</row>
    <row r="57" spans="1:57" ht="13" x14ac:dyDescent="0.3">
      <c r="A57" s="5">
        <v>415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</row>
    <row r="58" spans="1:57" ht="13" x14ac:dyDescent="0.3">
      <c r="A58" s="5">
        <v>420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</row>
    <row r="59" spans="1:57" ht="13" x14ac:dyDescent="0.3">
      <c r="A59" s="5">
        <v>425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</row>
    <row r="60" spans="1:57" ht="13" x14ac:dyDescent="0.3">
      <c r="A60" s="5">
        <v>430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</row>
    <row r="61" spans="1:57" ht="13" x14ac:dyDescent="0.3">
      <c r="A61" s="5">
        <v>435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</row>
    <row r="62" spans="1:57" ht="13" x14ac:dyDescent="0.3">
      <c r="A62" s="5">
        <v>440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</row>
    <row r="63" spans="1:57" ht="13" x14ac:dyDescent="0.3">
      <c r="A63" s="5">
        <v>445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</row>
    <row r="64" spans="1:57" ht="13" x14ac:dyDescent="0.3">
      <c r="A64" s="5">
        <v>450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</row>
    <row r="65" spans="1:57" ht="13" x14ac:dyDescent="0.3">
      <c r="A65" s="5">
        <v>455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</row>
    <row r="66" spans="1:57" ht="13" x14ac:dyDescent="0.3">
      <c r="A66" s="5">
        <v>460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</row>
    <row r="67" spans="1:57" ht="13" x14ac:dyDescent="0.3">
      <c r="A67" s="5">
        <v>465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</row>
    <row r="68" spans="1:57" ht="13" x14ac:dyDescent="0.3">
      <c r="A68" s="5">
        <v>470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</row>
    <row r="69" spans="1:57" ht="13" x14ac:dyDescent="0.3">
      <c r="A69" s="5">
        <v>475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</row>
    <row r="70" spans="1:57" ht="13" x14ac:dyDescent="0.3">
      <c r="A70" s="5">
        <v>480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</row>
    <row r="71" spans="1:57" ht="13" x14ac:dyDescent="0.3">
      <c r="A71" s="5">
        <v>485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</row>
    <row r="72" spans="1:57" ht="13" x14ac:dyDescent="0.3">
      <c r="A72" s="5">
        <v>490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</row>
    <row r="73" spans="1:57" ht="13" x14ac:dyDescent="0.3">
      <c r="A73" s="5">
        <v>495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</row>
    <row r="74" spans="1:57" ht="13" x14ac:dyDescent="0.3">
      <c r="A74" s="5">
        <v>500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</row>
    <row r="75" spans="1:57" ht="13" x14ac:dyDescent="0.3">
      <c r="A75" s="5">
        <v>505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</row>
    <row r="76" spans="1:57" ht="13" x14ac:dyDescent="0.3">
      <c r="A76" s="5">
        <v>510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</row>
    <row r="77" spans="1:57" ht="13" x14ac:dyDescent="0.3">
      <c r="A77" s="5">
        <v>515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</row>
    <row r="78" spans="1:57" ht="13" x14ac:dyDescent="0.3">
      <c r="A78" s="5">
        <v>520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</row>
    <row r="79" spans="1:57" ht="13" x14ac:dyDescent="0.3">
      <c r="A79" s="5">
        <v>525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</row>
    <row r="80" spans="1:57" ht="13" x14ac:dyDescent="0.3">
      <c r="A80" s="5">
        <v>530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</row>
    <row r="81" spans="1:57" ht="13" x14ac:dyDescent="0.3">
      <c r="A81" s="5">
        <v>535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</row>
    <row r="82" spans="1:57" ht="13" x14ac:dyDescent="0.3">
      <c r="A82" s="5">
        <v>540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</row>
    <row r="83" spans="1:57" ht="13" x14ac:dyDescent="0.3">
      <c r="A83" s="5">
        <v>545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</row>
    <row r="84" spans="1:57" ht="13" x14ac:dyDescent="0.3">
      <c r="A84" s="5">
        <v>550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</row>
    <row r="85" spans="1:57" ht="13" x14ac:dyDescent="0.3">
      <c r="A85" s="5">
        <v>555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</row>
    <row r="86" spans="1:57" ht="13" x14ac:dyDescent="0.3">
      <c r="A86" s="5">
        <v>560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</row>
    <row r="87" spans="1:57" ht="13" x14ac:dyDescent="0.3">
      <c r="A87" s="5">
        <v>565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</row>
    <row r="88" spans="1:57" ht="13" x14ac:dyDescent="0.3">
      <c r="A88" s="5">
        <v>570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</row>
    <row r="89" spans="1:57" ht="13" x14ac:dyDescent="0.3">
      <c r="A89" s="5">
        <v>575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</row>
    <row r="90" spans="1:57" ht="13" x14ac:dyDescent="0.3">
      <c r="A90" s="5">
        <v>580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</row>
    <row r="91" spans="1:57" ht="13" x14ac:dyDescent="0.3">
      <c r="A91" s="5">
        <v>585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</row>
    <row r="92" spans="1:57" ht="13" x14ac:dyDescent="0.3">
      <c r="A92" s="5">
        <v>590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</row>
    <row r="93" spans="1:57" ht="13" x14ac:dyDescent="0.3">
      <c r="A93" s="5">
        <v>595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</row>
    <row r="94" spans="1:57" ht="13" x14ac:dyDescent="0.3">
      <c r="A94" s="5">
        <v>600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</row>
    <row r="95" spans="1:57" ht="13" x14ac:dyDescent="0.3">
      <c r="A95" s="5">
        <v>605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</row>
    <row r="96" spans="1:57" ht="13" x14ac:dyDescent="0.3">
      <c r="A96" s="5">
        <v>610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</row>
    <row r="97" spans="1:57" ht="13" x14ac:dyDescent="0.3">
      <c r="A97" s="5">
        <v>615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</row>
    <row r="98" spans="1:57" ht="13" x14ac:dyDescent="0.3">
      <c r="A98" s="5">
        <v>620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</row>
    <row r="99" spans="1:57" ht="13" x14ac:dyDescent="0.3">
      <c r="A99" s="5">
        <v>625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</row>
    <row r="100" spans="1:57" ht="13" x14ac:dyDescent="0.3">
      <c r="A100" s="5">
        <v>630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</row>
    <row r="101" spans="1:57" ht="13" x14ac:dyDescent="0.3">
      <c r="A101" s="5">
        <v>635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</row>
    <row r="102" spans="1:57" ht="13" x14ac:dyDescent="0.3">
      <c r="A102" s="5">
        <v>640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</row>
    <row r="103" spans="1:57" ht="13" x14ac:dyDescent="0.3">
      <c r="A103" s="5">
        <v>645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</row>
    <row r="104" spans="1:57" ht="13" x14ac:dyDescent="0.3">
      <c r="A104" s="5">
        <v>650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</row>
    <row r="105" spans="1:57" ht="13" x14ac:dyDescent="0.3">
      <c r="A105" s="5">
        <v>655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</row>
    <row r="106" spans="1:57" ht="13" x14ac:dyDescent="0.3">
      <c r="A106" s="5">
        <v>660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</row>
    <row r="107" spans="1:57" ht="13" x14ac:dyDescent="0.3">
      <c r="A107" s="5">
        <v>665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</row>
    <row r="108" spans="1:57" ht="13" x14ac:dyDescent="0.3">
      <c r="A108" s="5">
        <v>670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</row>
    <row r="109" spans="1:57" ht="13" x14ac:dyDescent="0.3">
      <c r="A109" s="5">
        <v>675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</row>
    <row r="110" spans="1:57" ht="13" x14ac:dyDescent="0.3">
      <c r="A110" s="5">
        <v>680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</row>
    <row r="111" spans="1:57" ht="13" x14ac:dyDescent="0.3">
      <c r="A111" s="5">
        <v>685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</row>
    <row r="112" spans="1:57" ht="13" x14ac:dyDescent="0.3">
      <c r="A112" s="5">
        <v>690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</row>
    <row r="113" spans="1:57" ht="13" x14ac:dyDescent="0.3">
      <c r="A113" s="5">
        <v>695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</row>
    <row r="114" spans="1:57" ht="13.5" thickBot="1" x14ac:dyDescent="0.35">
      <c r="A114" s="3">
        <v>700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DE88B-6C8D-4317-843F-442DB640583D}">
  <sheetPr codeName="Sheet5"/>
  <dimension ref="A34:BE79"/>
  <sheetViews>
    <sheetView topLeftCell="A56" workbookViewId="0">
      <selection activeCell="B46" sqref="B46"/>
    </sheetView>
  </sheetViews>
  <sheetFormatPr defaultRowHeight="12.5" x14ac:dyDescent="0.25"/>
  <cols>
    <col min="1" max="1" width="16.1796875" bestFit="1" customWidth="1"/>
    <col min="2" max="10" width="11.1796875" customWidth="1"/>
  </cols>
  <sheetData>
    <row r="34" spans="1:57" x14ac:dyDescent="0.25">
      <c r="A34" s="18" t="s">
        <v>8</v>
      </c>
      <c r="B34" s="19" t="e">
        <f t="shared" ref="B34:AG34" si="0">INDEX($A$47:$AN$79,MATCH(MAX(B47:B79),B47:B79,0),1)</f>
        <v>#N/A</v>
      </c>
      <c r="C34" s="19" t="e">
        <f t="shared" si="0"/>
        <v>#N/A</v>
      </c>
      <c r="D34" s="19" t="e">
        <f t="shared" si="0"/>
        <v>#N/A</v>
      </c>
      <c r="E34" s="19" t="e">
        <f t="shared" si="0"/>
        <v>#N/A</v>
      </c>
      <c r="F34" s="19" t="e">
        <f t="shared" si="0"/>
        <v>#N/A</v>
      </c>
      <c r="G34" s="19" t="e">
        <f t="shared" si="0"/>
        <v>#N/A</v>
      </c>
      <c r="H34" s="19" t="e">
        <f t="shared" si="0"/>
        <v>#N/A</v>
      </c>
      <c r="I34" s="19" t="e">
        <f t="shared" si="0"/>
        <v>#N/A</v>
      </c>
      <c r="J34" s="19" t="e">
        <f t="shared" si="0"/>
        <v>#N/A</v>
      </c>
      <c r="K34" s="19" t="e">
        <f t="shared" si="0"/>
        <v>#N/A</v>
      </c>
      <c r="L34" s="19" t="e">
        <f t="shared" si="0"/>
        <v>#N/A</v>
      </c>
      <c r="M34" s="19" t="e">
        <f t="shared" si="0"/>
        <v>#N/A</v>
      </c>
      <c r="N34" s="19" t="e">
        <f t="shared" si="0"/>
        <v>#N/A</v>
      </c>
      <c r="O34" s="19" t="e">
        <f t="shared" si="0"/>
        <v>#N/A</v>
      </c>
      <c r="P34" s="19" t="e">
        <f t="shared" si="0"/>
        <v>#N/A</v>
      </c>
      <c r="Q34" s="19" t="e">
        <f t="shared" si="0"/>
        <v>#N/A</v>
      </c>
      <c r="R34" s="19" t="e">
        <f t="shared" si="0"/>
        <v>#N/A</v>
      </c>
      <c r="S34" s="19" t="e">
        <f t="shared" si="0"/>
        <v>#N/A</v>
      </c>
      <c r="T34" s="19" t="e">
        <f t="shared" si="0"/>
        <v>#N/A</v>
      </c>
      <c r="U34" s="19" t="e">
        <f t="shared" si="0"/>
        <v>#N/A</v>
      </c>
      <c r="V34" s="19" t="e">
        <f t="shared" si="0"/>
        <v>#N/A</v>
      </c>
      <c r="W34" s="19" t="e">
        <f t="shared" si="0"/>
        <v>#N/A</v>
      </c>
      <c r="X34" s="19" t="e">
        <f t="shared" si="0"/>
        <v>#N/A</v>
      </c>
      <c r="Y34" s="19" t="e">
        <f t="shared" si="0"/>
        <v>#N/A</v>
      </c>
      <c r="Z34" s="19" t="e">
        <f t="shared" si="0"/>
        <v>#N/A</v>
      </c>
      <c r="AA34" s="19" t="e">
        <f t="shared" si="0"/>
        <v>#N/A</v>
      </c>
      <c r="AB34" s="19" t="e">
        <f t="shared" si="0"/>
        <v>#N/A</v>
      </c>
      <c r="AC34" s="19" t="e">
        <f t="shared" si="0"/>
        <v>#N/A</v>
      </c>
      <c r="AD34" s="19" t="e">
        <f t="shared" si="0"/>
        <v>#N/A</v>
      </c>
      <c r="AE34" s="19" t="e">
        <f t="shared" si="0"/>
        <v>#N/A</v>
      </c>
      <c r="AF34" s="19" t="e">
        <f t="shared" si="0"/>
        <v>#N/A</v>
      </c>
      <c r="AG34" s="19" t="e">
        <f t="shared" si="0"/>
        <v>#N/A</v>
      </c>
      <c r="AH34" s="19" t="e">
        <f t="shared" ref="AH34:BE34" si="1">INDEX($A$47:$AN$79,MATCH(MAX(AH47:AH79),AH47:AH79,0),1)</f>
        <v>#N/A</v>
      </c>
      <c r="AI34" s="19" t="e">
        <f t="shared" si="1"/>
        <v>#N/A</v>
      </c>
      <c r="AJ34" s="19" t="e">
        <f t="shared" si="1"/>
        <v>#N/A</v>
      </c>
      <c r="AK34" s="19" t="e">
        <f t="shared" si="1"/>
        <v>#N/A</v>
      </c>
      <c r="AL34" s="19" t="e">
        <f t="shared" si="1"/>
        <v>#N/A</v>
      </c>
      <c r="AM34" s="19" t="e">
        <f t="shared" si="1"/>
        <v>#N/A</v>
      </c>
      <c r="AN34" s="19" t="e">
        <f t="shared" si="1"/>
        <v>#N/A</v>
      </c>
      <c r="AO34" s="19" t="e">
        <f t="shared" si="1"/>
        <v>#N/A</v>
      </c>
      <c r="AP34" s="19" t="e">
        <f t="shared" si="1"/>
        <v>#N/A</v>
      </c>
      <c r="AQ34" s="19" t="e">
        <f t="shared" si="1"/>
        <v>#N/A</v>
      </c>
      <c r="AR34" s="19" t="e">
        <f t="shared" si="1"/>
        <v>#N/A</v>
      </c>
      <c r="AS34" s="19" t="e">
        <f t="shared" si="1"/>
        <v>#N/A</v>
      </c>
      <c r="AT34" s="19" t="e">
        <f t="shared" si="1"/>
        <v>#N/A</v>
      </c>
      <c r="AU34" s="19" t="e">
        <f t="shared" si="1"/>
        <v>#N/A</v>
      </c>
      <c r="AV34" s="19" t="e">
        <f t="shared" si="1"/>
        <v>#N/A</v>
      </c>
      <c r="AW34" s="19" t="e">
        <f t="shared" si="1"/>
        <v>#N/A</v>
      </c>
      <c r="AX34" s="19" t="e">
        <f t="shared" si="1"/>
        <v>#N/A</v>
      </c>
      <c r="AY34" s="19" t="e">
        <f t="shared" si="1"/>
        <v>#N/A</v>
      </c>
      <c r="AZ34" s="19" t="e">
        <f t="shared" si="1"/>
        <v>#N/A</v>
      </c>
      <c r="BA34" s="19" t="e">
        <f t="shared" si="1"/>
        <v>#N/A</v>
      </c>
      <c r="BB34" s="19" t="e">
        <f t="shared" si="1"/>
        <v>#N/A</v>
      </c>
      <c r="BC34" s="19" t="e">
        <f t="shared" si="1"/>
        <v>#N/A</v>
      </c>
      <c r="BD34" s="19" t="e">
        <f t="shared" si="1"/>
        <v>#N/A</v>
      </c>
      <c r="BE34" s="19" t="e">
        <f t="shared" si="1"/>
        <v>#N/A</v>
      </c>
    </row>
    <row r="35" spans="1:57" x14ac:dyDescent="0.25">
      <c r="A35" s="18" t="s">
        <v>9</v>
      </c>
      <c r="B35" s="19" t="e">
        <f t="shared" ref="B35:AG35" si="2">AVERAGE(B47:B79)</f>
        <v>#DIV/0!</v>
      </c>
      <c r="C35" s="19" t="e">
        <f t="shared" si="2"/>
        <v>#DIV/0!</v>
      </c>
      <c r="D35" s="19" t="e">
        <f t="shared" si="2"/>
        <v>#DIV/0!</v>
      </c>
      <c r="E35" s="19" t="e">
        <f t="shared" si="2"/>
        <v>#DIV/0!</v>
      </c>
      <c r="F35" s="19" t="e">
        <f t="shared" si="2"/>
        <v>#DIV/0!</v>
      </c>
      <c r="G35" s="19" t="e">
        <f t="shared" si="2"/>
        <v>#DIV/0!</v>
      </c>
      <c r="H35" s="19" t="e">
        <f t="shared" si="2"/>
        <v>#DIV/0!</v>
      </c>
      <c r="I35" s="19" t="e">
        <f t="shared" si="2"/>
        <v>#DIV/0!</v>
      </c>
      <c r="J35" s="19" t="e">
        <f t="shared" si="2"/>
        <v>#DIV/0!</v>
      </c>
      <c r="K35" s="19" t="e">
        <f t="shared" si="2"/>
        <v>#DIV/0!</v>
      </c>
      <c r="L35" s="19" t="e">
        <f t="shared" si="2"/>
        <v>#DIV/0!</v>
      </c>
      <c r="M35" s="19" t="e">
        <f t="shared" si="2"/>
        <v>#DIV/0!</v>
      </c>
      <c r="N35" s="19" t="e">
        <f t="shared" si="2"/>
        <v>#DIV/0!</v>
      </c>
      <c r="O35" s="19" t="e">
        <f t="shared" si="2"/>
        <v>#DIV/0!</v>
      </c>
      <c r="P35" s="19" t="e">
        <f t="shared" si="2"/>
        <v>#DIV/0!</v>
      </c>
      <c r="Q35" s="19" t="e">
        <f t="shared" si="2"/>
        <v>#DIV/0!</v>
      </c>
      <c r="R35" s="19" t="e">
        <f t="shared" si="2"/>
        <v>#DIV/0!</v>
      </c>
      <c r="S35" s="19" t="e">
        <f t="shared" si="2"/>
        <v>#DIV/0!</v>
      </c>
      <c r="T35" s="19" t="e">
        <f t="shared" si="2"/>
        <v>#DIV/0!</v>
      </c>
      <c r="U35" s="19" t="e">
        <f t="shared" si="2"/>
        <v>#DIV/0!</v>
      </c>
      <c r="V35" s="19" t="e">
        <f t="shared" si="2"/>
        <v>#DIV/0!</v>
      </c>
      <c r="W35" s="19" t="e">
        <f t="shared" si="2"/>
        <v>#DIV/0!</v>
      </c>
      <c r="X35" s="19" t="e">
        <f t="shared" si="2"/>
        <v>#DIV/0!</v>
      </c>
      <c r="Y35" s="19" t="e">
        <f t="shared" si="2"/>
        <v>#DIV/0!</v>
      </c>
      <c r="Z35" s="19" t="e">
        <f t="shared" si="2"/>
        <v>#DIV/0!</v>
      </c>
      <c r="AA35" s="19" t="e">
        <f t="shared" si="2"/>
        <v>#DIV/0!</v>
      </c>
      <c r="AB35" s="19" t="e">
        <f t="shared" si="2"/>
        <v>#DIV/0!</v>
      </c>
      <c r="AC35" s="19" t="e">
        <f t="shared" si="2"/>
        <v>#DIV/0!</v>
      </c>
      <c r="AD35" s="19" t="e">
        <f t="shared" si="2"/>
        <v>#DIV/0!</v>
      </c>
      <c r="AE35" s="19" t="e">
        <f t="shared" si="2"/>
        <v>#DIV/0!</v>
      </c>
      <c r="AF35" s="19" t="e">
        <f t="shared" si="2"/>
        <v>#DIV/0!</v>
      </c>
      <c r="AG35" s="19" t="e">
        <f t="shared" si="2"/>
        <v>#DIV/0!</v>
      </c>
      <c r="AH35" s="19" t="e">
        <f t="shared" ref="AH35:BE35" si="3">AVERAGE(AH47:AH79)</f>
        <v>#DIV/0!</v>
      </c>
      <c r="AI35" s="19" t="e">
        <f t="shared" si="3"/>
        <v>#DIV/0!</v>
      </c>
      <c r="AJ35" s="19" t="e">
        <f t="shared" si="3"/>
        <v>#DIV/0!</v>
      </c>
      <c r="AK35" s="19" t="e">
        <f t="shared" si="3"/>
        <v>#DIV/0!</v>
      </c>
      <c r="AL35" s="19" t="e">
        <f t="shared" si="3"/>
        <v>#DIV/0!</v>
      </c>
      <c r="AM35" s="19" t="e">
        <f t="shared" si="3"/>
        <v>#DIV/0!</v>
      </c>
      <c r="AN35" s="19" t="e">
        <f t="shared" si="3"/>
        <v>#DIV/0!</v>
      </c>
      <c r="AO35" s="19" t="e">
        <f t="shared" si="3"/>
        <v>#DIV/0!</v>
      </c>
      <c r="AP35" s="19" t="e">
        <f t="shared" si="3"/>
        <v>#DIV/0!</v>
      </c>
      <c r="AQ35" s="19" t="e">
        <f t="shared" si="3"/>
        <v>#DIV/0!</v>
      </c>
      <c r="AR35" s="19" t="e">
        <f t="shared" si="3"/>
        <v>#DIV/0!</v>
      </c>
      <c r="AS35" s="19" t="e">
        <f t="shared" si="3"/>
        <v>#DIV/0!</v>
      </c>
      <c r="AT35" s="19" t="e">
        <f t="shared" si="3"/>
        <v>#DIV/0!</v>
      </c>
      <c r="AU35" s="19" t="e">
        <f t="shared" si="3"/>
        <v>#DIV/0!</v>
      </c>
      <c r="AV35" s="19" t="e">
        <f t="shared" si="3"/>
        <v>#DIV/0!</v>
      </c>
      <c r="AW35" s="19" t="e">
        <f t="shared" si="3"/>
        <v>#DIV/0!</v>
      </c>
      <c r="AX35" s="19" t="e">
        <f t="shared" si="3"/>
        <v>#DIV/0!</v>
      </c>
      <c r="AY35" s="19" t="e">
        <f t="shared" si="3"/>
        <v>#DIV/0!</v>
      </c>
      <c r="AZ35" s="19" t="e">
        <f t="shared" si="3"/>
        <v>#DIV/0!</v>
      </c>
      <c r="BA35" s="19" t="e">
        <f t="shared" si="3"/>
        <v>#DIV/0!</v>
      </c>
      <c r="BB35" s="19" t="e">
        <f t="shared" si="3"/>
        <v>#DIV/0!</v>
      </c>
      <c r="BC35" s="19" t="e">
        <f t="shared" si="3"/>
        <v>#DIV/0!</v>
      </c>
      <c r="BD35" s="19" t="e">
        <f t="shared" si="3"/>
        <v>#DIV/0!</v>
      </c>
      <c r="BE35" s="19" t="e">
        <f t="shared" si="3"/>
        <v>#DIV/0!</v>
      </c>
    </row>
    <row r="36" spans="1:57" ht="12.75" customHeight="1" thickBot="1" x14ac:dyDescent="0.3"/>
    <row r="37" spans="1:57" ht="13" x14ac:dyDescent="0.3">
      <c r="A37" s="10" t="s">
        <v>0</v>
      </c>
      <c r="B37" s="11"/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</row>
    <row r="38" spans="1:57" s="15" customFormat="1" ht="13.5" thickBot="1" x14ac:dyDescent="0.35">
      <c r="A38" s="3" t="s">
        <v>1</v>
      </c>
      <c r="B38" s="4"/>
      <c r="C38" s="4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</row>
    <row r="39" spans="1:57" ht="13" x14ac:dyDescent="0.3">
      <c r="A39" s="5" t="s">
        <v>2</v>
      </c>
      <c r="B39" s="1"/>
      <c r="C39" s="8"/>
    </row>
    <row r="40" spans="1:57" ht="13" x14ac:dyDescent="0.3">
      <c r="A40" s="5" t="s">
        <v>3</v>
      </c>
      <c r="B40" s="1"/>
      <c r="C40" s="1"/>
    </row>
    <row r="41" spans="1:57" ht="13" x14ac:dyDescent="0.3">
      <c r="A41" s="5" t="s">
        <v>4</v>
      </c>
      <c r="B41" s="1"/>
      <c r="C41" s="1"/>
    </row>
    <row r="42" spans="1:57" ht="13" x14ac:dyDescent="0.3">
      <c r="A42" s="5" t="s">
        <v>5</v>
      </c>
      <c r="B42" s="1"/>
      <c r="C42" s="1"/>
    </row>
    <row r="43" spans="1:57" ht="13.5" thickBot="1" x14ac:dyDescent="0.35">
      <c r="A43" s="3" t="s">
        <v>6</v>
      </c>
      <c r="B43" s="2"/>
      <c r="C43" s="2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</row>
    <row r="44" spans="1:57" ht="13.5" thickBot="1" x14ac:dyDescent="0.35">
      <c r="A44" s="16"/>
      <c r="B44" s="1"/>
      <c r="C44" s="1"/>
    </row>
    <row r="45" spans="1:57" ht="13" x14ac:dyDescent="0.3">
      <c r="A45" s="13" t="s">
        <v>10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:57" ht="26.5" thickBot="1" x14ac:dyDescent="0.35">
      <c r="A46" s="14" t="s">
        <v>7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</row>
    <row r="47" spans="1:57" ht="13" x14ac:dyDescent="0.3">
      <c r="A47" s="6">
        <v>380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</row>
    <row r="48" spans="1:57" ht="13" x14ac:dyDescent="0.3">
      <c r="A48" s="5">
        <v>390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</row>
    <row r="49" spans="1:57" ht="13" x14ac:dyDescent="0.3">
      <c r="A49" s="5">
        <v>400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</row>
    <row r="50" spans="1:57" ht="13" x14ac:dyDescent="0.3">
      <c r="A50" s="5">
        <v>410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</row>
    <row r="51" spans="1:57" ht="13" x14ac:dyDescent="0.3">
      <c r="A51" s="5">
        <v>420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</row>
    <row r="52" spans="1:57" ht="13" x14ac:dyDescent="0.3">
      <c r="A52" s="5">
        <v>430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</row>
    <row r="53" spans="1:57" ht="13" x14ac:dyDescent="0.3">
      <c r="A53" s="5">
        <v>440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</row>
    <row r="54" spans="1:57" ht="13" x14ac:dyDescent="0.3">
      <c r="A54" s="5">
        <v>450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</row>
    <row r="55" spans="1:57" ht="13" x14ac:dyDescent="0.3">
      <c r="A55" s="5">
        <v>460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</row>
    <row r="56" spans="1:57" ht="13" x14ac:dyDescent="0.3">
      <c r="A56" s="5">
        <v>470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</row>
    <row r="57" spans="1:57" ht="13" x14ac:dyDescent="0.3">
      <c r="A57" s="5">
        <v>480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</row>
    <row r="58" spans="1:57" ht="13" x14ac:dyDescent="0.3">
      <c r="A58" s="5">
        <v>490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</row>
    <row r="59" spans="1:57" ht="13" x14ac:dyDescent="0.3">
      <c r="A59" s="5">
        <v>500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</row>
    <row r="60" spans="1:57" ht="13" x14ac:dyDescent="0.3">
      <c r="A60" s="5">
        <v>510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</row>
    <row r="61" spans="1:57" ht="13" x14ac:dyDescent="0.3">
      <c r="A61" s="5">
        <v>520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</row>
    <row r="62" spans="1:57" ht="13" x14ac:dyDescent="0.3">
      <c r="A62" s="5">
        <v>530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</row>
    <row r="63" spans="1:57" ht="13" x14ac:dyDescent="0.3">
      <c r="A63" s="5">
        <v>540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</row>
    <row r="64" spans="1:57" ht="13" x14ac:dyDescent="0.3">
      <c r="A64" s="5">
        <v>550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</row>
    <row r="65" spans="1:57" ht="13" x14ac:dyDescent="0.3">
      <c r="A65" s="5">
        <v>560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</row>
    <row r="66" spans="1:57" ht="13" x14ac:dyDescent="0.3">
      <c r="A66" s="5">
        <v>570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</row>
    <row r="67" spans="1:57" ht="13" x14ac:dyDescent="0.3">
      <c r="A67" s="5">
        <v>580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</row>
    <row r="68" spans="1:57" ht="13" x14ac:dyDescent="0.3">
      <c r="A68" s="5">
        <v>590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</row>
    <row r="69" spans="1:57" ht="13" x14ac:dyDescent="0.3">
      <c r="A69" s="5">
        <v>600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</row>
    <row r="70" spans="1:57" ht="13" x14ac:dyDescent="0.3">
      <c r="A70" s="5">
        <v>610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</row>
    <row r="71" spans="1:57" ht="13" x14ac:dyDescent="0.3">
      <c r="A71" s="5">
        <v>620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</row>
    <row r="72" spans="1:57" ht="13" x14ac:dyDescent="0.3">
      <c r="A72" s="5">
        <v>630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</row>
    <row r="73" spans="1:57" ht="13" x14ac:dyDescent="0.3">
      <c r="A73" s="5">
        <v>640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</row>
    <row r="74" spans="1:57" ht="13" x14ac:dyDescent="0.3">
      <c r="A74" s="5">
        <v>650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</row>
    <row r="75" spans="1:57" ht="13" x14ac:dyDescent="0.3">
      <c r="A75" s="5">
        <v>660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</row>
    <row r="76" spans="1:57" ht="13" x14ac:dyDescent="0.3">
      <c r="A76" s="5">
        <v>670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</row>
    <row r="77" spans="1:57" ht="13" x14ac:dyDescent="0.3">
      <c r="A77" s="5">
        <v>680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</row>
    <row r="78" spans="1:57" ht="13" x14ac:dyDescent="0.3">
      <c r="A78" s="5">
        <v>690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</row>
    <row r="79" spans="1:57" ht="13.5" thickBot="1" x14ac:dyDescent="0.35">
      <c r="A79" s="3">
        <v>700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F2E8-C1BD-41CD-8EE9-ADD618536563}">
  <sheetPr codeName="Sheet6"/>
  <dimension ref="A34:BE114"/>
  <sheetViews>
    <sheetView workbookViewId="0">
      <selection activeCell="B37" sqref="B37:AD82"/>
    </sheetView>
  </sheetViews>
  <sheetFormatPr defaultRowHeight="12.5" x14ac:dyDescent="0.25"/>
  <cols>
    <col min="1" max="1" width="16.1796875" bestFit="1" customWidth="1"/>
    <col min="2" max="10" width="11.1796875" customWidth="1"/>
  </cols>
  <sheetData>
    <row r="34" spans="1:57" x14ac:dyDescent="0.25">
      <c r="A34" s="18" t="s">
        <v>8</v>
      </c>
      <c r="B34" s="19" t="e">
        <f t="shared" ref="B34:BE34" si="0">INDEX($A$50:$AN$114,MATCH(MAX(B50:B114),B50:B114,0),1)</f>
        <v>#N/A</v>
      </c>
      <c r="C34" s="19" t="e">
        <f t="shared" si="0"/>
        <v>#N/A</v>
      </c>
      <c r="D34" s="19" t="e">
        <f t="shared" si="0"/>
        <v>#N/A</v>
      </c>
      <c r="E34" s="19" t="e">
        <f t="shared" si="0"/>
        <v>#N/A</v>
      </c>
      <c r="F34" s="19" t="e">
        <f t="shared" si="0"/>
        <v>#N/A</v>
      </c>
      <c r="G34" s="19" t="e">
        <f t="shared" si="0"/>
        <v>#N/A</v>
      </c>
      <c r="H34" s="19" t="e">
        <f t="shared" si="0"/>
        <v>#N/A</v>
      </c>
      <c r="I34" s="19" t="e">
        <f t="shared" si="0"/>
        <v>#N/A</v>
      </c>
      <c r="J34" s="19" t="e">
        <f t="shared" si="0"/>
        <v>#N/A</v>
      </c>
      <c r="K34" s="19" t="e">
        <f t="shared" si="0"/>
        <v>#N/A</v>
      </c>
      <c r="L34" s="19" t="e">
        <f t="shared" si="0"/>
        <v>#N/A</v>
      </c>
      <c r="M34" s="19" t="e">
        <f t="shared" si="0"/>
        <v>#N/A</v>
      </c>
      <c r="N34" s="19" t="e">
        <f t="shared" si="0"/>
        <v>#N/A</v>
      </c>
      <c r="O34" s="19" t="e">
        <f t="shared" si="0"/>
        <v>#N/A</v>
      </c>
      <c r="P34" s="19" t="e">
        <f t="shared" si="0"/>
        <v>#N/A</v>
      </c>
      <c r="Q34" s="19" t="e">
        <f t="shared" si="0"/>
        <v>#N/A</v>
      </c>
      <c r="R34" s="19" t="e">
        <f t="shared" si="0"/>
        <v>#N/A</v>
      </c>
      <c r="S34" s="19" t="e">
        <f t="shared" si="0"/>
        <v>#N/A</v>
      </c>
      <c r="T34" s="19" t="e">
        <f t="shared" si="0"/>
        <v>#N/A</v>
      </c>
      <c r="U34" s="19" t="e">
        <f t="shared" si="0"/>
        <v>#N/A</v>
      </c>
      <c r="V34" s="19" t="e">
        <f t="shared" si="0"/>
        <v>#N/A</v>
      </c>
      <c r="W34" s="19" t="e">
        <f t="shared" si="0"/>
        <v>#N/A</v>
      </c>
      <c r="X34" s="19" t="e">
        <f t="shared" si="0"/>
        <v>#N/A</v>
      </c>
      <c r="Y34" s="19" t="e">
        <f t="shared" si="0"/>
        <v>#N/A</v>
      </c>
      <c r="Z34" s="19" t="e">
        <f t="shared" si="0"/>
        <v>#N/A</v>
      </c>
      <c r="AA34" s="19" t="e">
        <f t="shared" si="0"/>
        <v>#N/A</v>
      </c>
      <c r="AB34" s="19" t="e">
        <f t="shared" si="0"/>
        <v>#N/A</v>
      </c>
      <c r="AC34" s="19" t="e">
        <f t="shared" si="0"/>
        <v>#N/A</v>
      </c>
      <c r="AD34" s="19" t="e">
        <f t="shared" si="0"/>
        <v>#N/A</v>
      </c>
      <c r="AE34" s="19" t="e">
        <f t="shared" si="0"/>
        <v>#N/A</v>
      </c>
      <c r="AF34" s="19" t="e">
        <f t="shared" si="0"/>
        <v>#N/A</v>
      </c>
      <c r="AG34" s="19" t="e">
        <f t="shared" si="0"/>
        <v>#N/A</v>
      </c>
      <c r="AH34" s="19" t="e">
        <f t="shared" si="0"/>
        <v>#N/A</v>
      </c>
      <c r="AI34" s="19" t="e">
        <f t="shared" si="0"/>
        <v>#N/A</v>
      </c>
      <c r="AJ34" s="19" t="e">
        <f t="shared" si="0"/>
        <v>#N/A</v>
      </c>
      <c r="AK34" s="19" t="e">
        <f t="shared" si="0"/>
        <v>#N/A</v>
      </c>
      <c r="AL34" s="19" t="e">
        <f t="shared" si="0"/>
        <v>#N/A</v>
      </c>
      <c r="AM34" s="19" t="e">
        <f t="shared" si="0"/>
        <v>#N/A</v>
      </c>
      <c r="AN34" s="19" t="e">
        <f t="shared" si="0"/>
        <v>#N/A</v>
      </c>
      <c r="AO34" s="19" t="e">
        <f t="shared" si="0"/>
        <v>#N/A</v>
      </c>
      <c r="AP34" s="19" t="e">
        <f t="shared" si="0"/>
        <v>#N/A</v>
      </c>
      <c r="AQ34" s="19" t="e">
        <f t="shared" si="0"/>
        <v>#N/A</v>
      </c>
      <c r="AR34" s="19" t="e">
        <f t="shared" si="0"/>
        <v>#N/A</v>
      </c>
      <c r="AS34" s="19" t="e">
        <f t="shared" si="0"/>
        <v>#N/A</v>
      </c>
      <c r="AT34" s="19" t="e">
        <f t="shared" si="0"/>
        <v>#N/A</v>
      </c>
      <c r="AU34" s="19" t="e">
        <f t="shared" si="0"/>
        <v>#N/A</v>
      </c>
      <c r="AV34" s="19" t="e">
        <f t="shared" si="0"/>
        <v>#N/A</v>
      </c>
      <c r="AW34" s="19" t="e">
        <f t="shared" si="0"/>
        <v>#N/A</v>
      </c>
      <c r="AX34" s="19" t="e">
        <f t="shared" si="0"/>
        <v>#N/A</v>
      </c>
      <c r="AY34" s="19" t="e">
        <f t="shared" si="0"/>
        <v>#N/A</v>
      </c>
      <c r="AZ34" s="19" t="e">
        <f t="shared" si="0"/>
        <v>#N/A</v>
      </c>
      <c r="BA34" s="19" t="e">
        <f t="shared" si="0"/>
        <v>#N/A</v>
      </c>
      <c r="BB34" s="19" t="e">
        <f t="shared" si="0"/>
        <v>#N/A</v>
      </c>
      <c r="BC34" s="19" t="e">
        <f t="shared" si="0"/>
        <v>#N/A</v>
      </c>
      <c r="BD34" s="19" t="e">
        <f t="shared" si="0"/>
        <v>#N/A</v>
      </c>
      <c r="BE34" s="19" t="e">
        <f t="shared" si="0"/>
        <v>#N/A</v>
      </c>
    </row>
    <row r="35" spans="1:57" x14ac:dyDescent="0.25">
      <c r="A35" s="18" t="s">
        <v>9</v>
      </c>
      <c r="B35" s="19" t="e">
        <f t="shared" ref="B35:BE35" si="1">AVERAGE(B50:B114)</f>
        <v>#DIV/0!</v>
      </c>
      <c r="C35" s="19" t="e">
        <f t="shared" si="1"/>
        <v>#DIV/0!</v>
      </c>
      <c r="D35" s="19" t="e">
        <f t="shared" si="1"/>
        <v>#DIV/0!</v>
      </c>
      <c r="E35" s="19" t="e">
        <f t="shared" si="1"/>
        <v>#DIV/0!</v>
      </c>
      <c r="F35" s="19" t="e">
        <f t="shared" si="1"/>
        <v>#DIV/0!</v>
      </c>
      <c r="G35" s="19" t="e">
        <f t="shared" si="1"/>
        <v>#DIV/0!</v>
      </c>
      <c r="H35" s="19" t="e">
        <f t="shared" si="1"/>
        <v>#DIV/0!</v>
      </c>
      <c r="I35" s="19" t="e">
        <f t="shared" si="1"/>
        <v>#DIV/0!</v>
      </c>
      <c r="J35" s="19" t="e">
        <f t="shared" si="1"/>
        <v>#DIV/0!</v>
      </c>
      <c r="K35" s="19" t="e">
        <f t="shared" si="1"/>
        <v>#DIV/0!</v>
      </c>
      <c r="L35" s="19" t="e">
        <f t="shared" si="1"/>
        <v>#DIV/0!</v>
      </c>
      <c r="M35" s="19" t="e">
        <f t="shared" si="1"/>
        <v>#DIV/0!</v>
      </c>
      <c r="N35" s="19" t="e">
        <f t="shared" si="1"/>
        <v>#DIV/0!</v>
      </c>
      <c r="O35" s="19" t="e">
        <f t="shared" si="1"/>
        <v>#DIV/0!</v>
      </c>
      <c r="P35" s="19" t="e">
        <f t="shared" si="1"/>
        <v>#DIV/0!</v>
      </c>
      <c r="Q35" s="19" t="e">
        <f t="shared" si="1"/>
        <v>#DIV/0!</v>
      </c>
      <c r="R35" s="19" t="e">
        <f t="shared" si="1"/>
        <v>#DIV/0!</v>
      </c>
      <c r="S35" s="19" t="e">
        <f t="shared" si="1"/>
        <v>#DIV/0!</v>
      </c>
      <c r="T35" s="19" t="e">
        <f t="shared" si="1"/>
        <v>#DIV/0!</v>
      </c>
      <c r="U35" s="19" t="e">
        <f t="shared" si="1"/>
        <v>#DIV/0!</v>
      </c>
      <c r="V35" s="19" t="e">
        <f t="shared" si="1"/>
        <v>#DIV/0!</v>
      </c>
      <c r="W35" s="19" t="e">
        <f t="shared" si="1"/>
        <v>#DIV/0!</v>
      </c>
      <c r="X35" s="19" t="e">
        <f t="shared" si="1"/>
        <v>#DIV/0!</v>
      </c>
      <c r="Y35" s="19" t="e">
        <f t="shared" si="1"/>
        <v>#DIV/0!</v>
      </c>
      <c r="Z35" s="19" t="e">
        <f t="shared" si="1"/>
        <v>#DIV/0!</v>
      </c>
      <c r="AA35" s="19" t="e">
        <f t="shared" si="1"/>
        <v>#DIV/0!</v>
      </c>
      <c r="AB35" s="19" t="e">
        <f t="shared" si="1"/>
        <v>#DIV/0!</v>
      </c>
      <c r="AC35" s="19" t="e">
        <f t="shared" si="1"/>
        <v>#DIV/0!</v>
      </c>
      <c r="AD35" s="19" t="e">
        <f t="shared" si="1"/>
        <v>#DIV/0!</v>
      </c>
      <c r="AE35" s="19" t="e">
        <f t="shared" si="1"/>
        <v>#DIV/0!</v>
      </c>
      <c r="AF35" s="19" t="e">
        <f t="shared" si="1"/>
        <v>#DIV/0!</v>
      </c>
      <c r="AG35" s="19" t="e">
        <f t="shared" si="1"/>
        <v>#DIV/0!</v>
      </c>
      <c r="AH35" s="19" t="e">
        <f t="shared" si="1"/>
        <v>#DIV/0!</v>
      </c>
      <c r="AI35" s="19" t="e">
        <f t="shared" si="1"/>
        <v>#DIV/0!</v>
      </c>
      <c r="AJ35" s="19" t="e">
        <f t="shared" si="1"/>
        <v>#DIV/0!</v>
      </c>
      <c r="AK35" s="19" t="e">
        <f t="shared" si="1"/>
        <v>#DIV/0!</v>
      </c>
      <c r="AL35" s="19" t="e">
        <f t="shared" si="1"/>
        <v>#DIV/0!</v>
      </c>
      <c r="AM35" s="19" t="e">
        <f t="shared" si="1"/>
        <v>#DIV/0!</v>
      </c>
      <c r="AN35" s="19" t="e">
        <f t="shared" si="1"/>
        <v>#DIV/0!</v>
      </c>
      <c r="AO35" s="19" t="e">
        <f t="shared" si="1"/>
        <v>#DIV/0!</v>
      </c>
      <c r="AP35" s="19" t="e">
        <f t="shared" si="1"/>
        <v>#DIV/0!</v>
      </c>
      <c r="AQ35" s="19" t="e">
        <f t="shared" si="1"/>
        <v>#DIV/0!</v>
      </c>
      <c r="AR35" s="19" t="e">
        <f t="shared" si="1"/>
        <v>#DIV/0!</v>
      </c>
      <c r="AS35" s="19" t="e">
        <f t="shared" si="1"/>
        <v>#DIV/0!</v>
      </c>
      <c r="AT35" s="19" t="e">
        <f t="shared" si="1"/>
        <v>#DIV/0!</v>
      </c>
      <c r="AU35" s="19" t="e">
        <f t="shared" si="1"/>
        <v>#DIV/0!</v>
      </c>
      <c r="AV35" s="19" t="e">
        <f t="shared" si="1"/>
        <v>#DIV/0!</v>
      </c>
      <c r="AW35" s="19" t="e">
        <f t="shared" si="1"/>
        <v>#DIV/0!</v>
      </c>
      <c r="AX35" s="19" t="e">
        <f t="shared" si="1"/>
        <v>#DIV/0!</v>
      </c>
      <c r="AY35" s="19" t="e">
        <f t="shared" si="1"/>
        <v>#DIV/0!</v>
      </c>
      <c r="AZ35" s="19" t="e">
        <f t="shared" si="1"/>
        <v>#DIV/0!</v>
      </c>
      <c r="BA35" s="19" t="e">
        <f t="shared" si="1"/>
        <v>#DIV/0!</v>
      </c>
      <c r="BB35" s="19" t="e">
        <f t="shared" si="1"/>
        <v>#DIV/0!</v>
      </c>
      <c r="BC35" s="19" t="e">
        <f t="shared" si="1"/>
        <v>#DIV/0!</v>
      </c>
      <c r="BD35" s="19" t="e">
        <f t="shared" si="1"/>
        <v>#DIV/0!</v>
      </c>
      <c r="BE35" s="19" t="e">
        <f t="shared" si="1"/>
        <v>#DIV/0!</v>
      </c>
    </row>
    <row r="36" spans="1:57" ht="12.75" customHeight="1" thickBot="1" x14ac:dyDescent="0.3"/>
    <row r="37" spans="1:57" ht="13" x14ac:dyDescent="0.3">
      <c r="A37" s="10" t="s">
        <v>0</v>
      </c>
      <c r="B37" s="11"/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</row>
    <row r="38" spans="1:57" s="15" customFormat="1" ht="13.5" thickBot="1" x14ac:dyDescent="0.35">
      <c r="A38" s="3" t="s">
        <v>1</v>
      </c>
      <c r="B38" s="4"/>
      <c r="C38" s="4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</row>
    <row r="39" spans="1:57" ht="13" x14ac:dyDescent="0.3">
      <c r="A39" s="5" t="s">
        <v>2</v>
      </c>
      <c r="B39" s="1"/>
      <c r="C39" s="8"/>
    </row>
    <row r="40" spans="1:57" ht="13" x14ac:dyDescent="0.3">
      <c r="A40" s="5" t="s">
        <v>3</v>
      </c>
      <c r="B40" s="1"/>
      <c r="C40" s="1"/>
    </row>
    <row r="41" spans="1:57" ht="13" x14ac:dyDescent="0.3">
      <c r="A41" s="5" t="s">
        <v>4</v>
      </c>
      <c r="B41" s="1"/>
      <c r="C41" s="1"/>
    </row>
    <row r="42" spans="1:57" ht="13" x14ac:dyDescent="0.3">
      <c r="A42" s="5" t="s">
        <v>5</v>
      </c>
      <c r="B42" s="1"/>
      <c r="C42" s="1"/>
    </row>
    <row r="43" spans="1:57" ht="13" x14ac:dyDescent="0.3">
      <c r="A43" s="5" t="s">
        <v>6</v>
      </c>
      <c r="B43" s="1"/>
      <c r="C43" s="1"/>
    </row>
    <row r="44" spans="1:57" ht="13" x14ac:dyDescent="0.3">
      <c r="A44" s="5" t="s">
        <v>11</v>
      </c>
      <c r="B44" s="1"/>
      <c r="C44" s="1"/>
    </row>
    <row r="45" spans="1:57" ht="13" x14ac:dyDescent="0.3">
      <c r="A45" s="5" t="s">
        <v>12</v>
      </c>
      <c r="B45" s="1"/>
      <c r="C45" s="1"/>
    </row>
    <row r="46" spans="1:57" ht="13.5" thickBot="1" x14ac:dyDescent="0.35">
      <c r="A46" s="3" t="s">
        <v>13</v>
      </c>
      <c r="B46" s="2"/>
      <c r="C46" s="2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ht="13.5" thickBot="1" x14ac:dyDescent="0.35">
      <c r="A47" s="16"/>
      <c r="B47" s="1"/>
      <c r="C47" s="1"/>
    </row>
    <row r="48" spans="1:57" ht="13" x14ac:dyDescent="0.3">
      <c r="A48" s="13" t="s">
        <v>10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ht="26.5" thickBot="1" x14ac:dyDescent="0.35">
      <c r="A49" s="14" t="s">
        <v>7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</row>
    <row r="50" spans="1:57" ht="13" x14ac:dyDescent="0.3">
      <c r="A50" s="6">
        <v>380</v>
      </c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</row>
    <row r="51" spans="1:57" ht="13" x14ac:dyDescent="0.3">
      <c r="A51" s="5">
        <v>390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</row>
    <row r="52" spans="1:57" ht="13" x14ac:dyDescent="0.3">
      <c r="A52" s="5">
        <v>400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</row>
    <row r="53" spans="1:57" ht="13" x14ac:dyDescent="0.3">
      <c r="A53" s="5">
        <v>410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</row>
    <row r="54" spans="1:57" ht="13" x14ac:dyDescent="0.3">
      <c r="A54" s="5">
        <v>420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</row>
    <row r="55" spans="1:57" ht="13" x14ac:dyDescent="0.3">
      <c r="A55" s="5">
        <v>430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</row>
    <row r="56" spans="1:57" ht="13" x14ac:dyDescent="0.3">
      <c r="A56" s="5">
        <v>440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</row>
    <row r="57" spans="1:57" ht="13" x14ac:dyDescent="0.3">
      <c r="A57" s="5">
        <v>450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</row>
    <row r="58" spans="1:57" ht="13" x14ac:dyDescent="0.3">
      <c r="A58" s="5">
        <v>460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</row>
    <row r="59" spans="1:57" ht="13" x14ac:dyDescent="0.3">
      <c r="A59" s="5">
        <v>470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</row>
    <row r="60" spans="1:57" ht="13" x14ac:dyDescent="0.3">
      <c r="A60" s="5">
        <v>480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</row>
    <row r="61" spans="1:57" ht="13" x14ac:dyDescent="0.3">
      <c r="A61" s="5">
        <v>490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</row>
    <row r="62" spans="1:57" ht="13" x14ac:dyDescent="0.3">
      <c r="A62" s="5">
        <v>500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</row>
    <row r="63" spans="1:57" ht="13" x14ac:dyDescent="0.3">
      <c r="A63" s="5">
        <v>510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</row>
    <row r="64" spans="1:57" ht="13" x14ac:dyDescent="0.3">
      <c r="A64" s="5">
        <v>520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</row>
    <row r="65" spans="1:57" ht="13" x14ac:dyDescent="0.3">
      <c r="A65" s="5">
        <v>530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</row>
    <row r="66" spans="1:57" ht="13" x14ac:dyDescent="0.3">
      <c r="A66" s="5">
        <v>540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</row>
    <row r="67" spans="1:57" ht="13" x14ac:dyDescent="0.3">
      <c r="A67" s="5">
        <v>550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</row>
    <row r="68" spans="1:57" ht="13" x14ac:dyDescent="0.3">
      <c r="A68" s="5">
        <v>560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</row>
    <row r="69" spans="1:57" ht="13" x14ac:dyDescent="0.3">
      <c r="A69" s="5">
        <v>570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</row>
    <row r="70" spans="1:57" ht="13" x14ac:dyDescent="0.3">
      <c r="A70" s="5">
        <v>580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</row>
    <row r="71" spans="1:57" ht="13" x14ac:dyDescent="0.3">
      <c r="A71" s="5">
        <v>590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</row>
    <row r="72" spans="1:57" ht="13" x14ac:dyDescent="0.3">
      <c r="A72" s="5">
        <v>600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</row>
    <row r="73" spans="1:57" ht="13" x14ac:dyDescent="0.3">
      <c r="A73" s="5">
        <v>610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</row>
    <row r="74" spans="1:57" ht="13" x14ac:dyDescent="0.3">
      <c r="A74" s="5">
        <v>620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</row>
    <row r="75" spans="1:57" ht="13" x14ac:dyDescent="0.3">
      <c r="A75" s="5">
        <v>630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</row>
    <row r="76" spans="1:57" ht="13" x14ac:dyDescent="0.3">
      <c r="A76" s="5">
        <v>640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</row>
    <row r="77" spans="1:57" ht="13" x14ac:dyDescent="0.3">
      <c r="A77" s="5">
        <v>650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</row>
    <row r="78" spans="1:57" ht="13" x14ac:dyDescent="0.3">
      <c r="A78" s="5">
        <v>660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</row>
    <row r="79" spans="1:57" ht="13" x14ac:dyDescent="0.3">
      <c r="A79" s="5">
        <v>670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</row>
    <row r="80" spans="1:57" ht="13" x14ac:dyDescent="0.3">
      <c r="A80" s="5">
        <v>680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</row>
    <row r="81" spans="1:57" ht="13" x14ac:dyDescent="0.3">
      <c r="A81" s="5">
        <v>690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</row>
    <row r="82" spans="1:57" ht="13.5" thickBot="1" x14ac:dyDescent="0.35">
      <c r="A82" s="3">
        <v>700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</row>
    <row r="83" spans="1:57" ht="13" x14ac:dyDescent="0.3">
      <c r="A83" s="5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</row>
    <row r="84" spans="1:57" ht="13" x14ac:dyDescent="0.3">
      <c r="A84" s="5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</row>
    <row r="85" spans="1:57" ht="13" x14ac:dyDescent="0.3">
      <c r="A85" s="5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</row>
    <row r="86" spans="1:57" ht="13" x14ac:dyDescent="0.3">
      <c r="A86" s="5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</row>
    <row r="87" spans="1:57" ht="13" x14ac:dyDescent="0.3">
      <c r="A87" s="5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</row>
    <row r="88" spans="1:57" ht="13" x14ac:dyDescent="0.3">
      <c r="A88" s="5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</row>
    <row r="89" spans="1:57" ht="13" x14ac:dyDescent="0.3">
      <c r="A89" s="5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</row>
    <row r="90" spans="1:57" ht="13" x14ac:dyDescent="0.3">
      <c r="A90" s="5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</row>
    <row r="91" spans="1:57" ht="13" x14ac:dyDescent="0.3">
      <c r="A91" s="5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</row>
    <row r="92" spans="1:57" ht="13" x14ac:dyDescent="0.3">
      <c r="A92" s="5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</row>
    <row r="93" spans="1:57" ht="13" x14ac:dyDescent="0.3">
      <c r="A93" s="5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</row>
    <row r="94" spans="1:57" ht="13" x14ac:dyDescent="0.3">
      <c r="A94" s="5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</row>
    <row r="95" spans="1:57" ht="13" x14ac:dyDescent="0.3">
      <c r="A95" s="5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</row>
    <row r="96" spans="1:57" ht="13" x14ac:dyDescent="0.3">
      <c r="A96" s="5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</row>
    <row r="97" spans="1:57" ht="13" x14ac:dyDescent="0.3">
      <c r="A97" s="5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</row>
    <row r="98" spans="1:57" ht="13" x14ac:dyDescent="0.3">
      <c r="A98" s="5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</row>
    <row r="99" spans="1:57" ht="13" x14ac:dyDescent="0.3">
      <c r="A99" s="5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</row>
    <row r="100" spans="1:57" ht="13" x14ac:dyDescent="0.3">
      <c r="A100" s="5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</row>
    <row r="101" spans="1:57" ht="13" x14ac:dyDescent="0.3">
      <c r="A101" s="5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</row>
    <row r="102" spans="1:57" ht="13" x14ac:dyDescent="0.3">
      <c r="A102" s="5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</row>
    <row r="103" spans="1:57" ht="13" x14ac:dyDescent="0.3">
      <c r="A103" s="5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</row>
    <row r="104" spans="1:57" ht="13" x14ac:dyDescent="0.3">
      <c r="A104" s="5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</row>
    <row r="105" spans="1:57" ht="13" x14ac:dyDescent="0.3">
      <c r="A105" s="5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</row>
    <row r="106" spans="1:57" ht="13" x14ac:dyDescent="0.3">
      <c r="A106" s="5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</row>
    <row r="107" spans="1:57" ht="13" x14ac:dyDescent="0.3">
      <c r="A107" s="5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</row>
    <row r="108" spans="1:57" ht="13" x14ac:dyDescent="0.3">
      <c r="A108" s="5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</row>
    <row r="109" spans="1:57" ht="13" x14ac:dyDescent="0.3">
      <c r="A109" s="5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</row>
    <row r="110" spans="1:57" ht="13" x14ac:dyDescent="0.3">
      <c r="A110" s="5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</row>
    <row r="111" spans="1:57" ht="13" x14ac:dyDescent="0.3">
      <c r="A111" s="5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</row>
    <row r="112" spans="1:57" ht="13" x14ac:dyDescent="0.3">
      <c r="A112" s="5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</row>
    <row r="113" spans="1:57" ht="13" x14ac:dyDescent="0.3">
      <c r="A113" s="5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</row>
    <row r="114" spans="1:57" ht="13.5" thickBot="1" x14ac:dyDescent="0.35">
      <c r="A114" s="3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</row>
  </sheetData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Test</vt:lpstr>
      <vt:lpstr>PAL</vt:lpstr>
      <vt:lpstr>Temp_5nm</vt:lpstr>
      <vt:lpstr>Temp_XYZ_5nm</vt:lpstr>
      <vt:lpstr>Temp_10nm</vt:lpstr>
      <vt:lpstr>Temp_XYZ_10nm</vt:lpstr>
    </vt:vector>
  </TitlesOfParts>
  <Company>OCLI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HPWSXXXX</dc:creator>
  <cp:lastModifiedBy>IT</cp:lastModifiedBy>
  <dcterms:created xsi:type="dcterms:W3CDTF">2003-02-04T17:43:11Z</dcterms:created>
  <dcterms:modified xsi:type="dcterms:W3CDTF">2019-04-10T16:49:17Z</dcterms:modified>
</cp:coreProperties>
</file>