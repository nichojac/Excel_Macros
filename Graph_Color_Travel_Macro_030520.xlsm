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s.jdsu.net\TFilms\Flex-L\METROSHA\JakeN\Murakami\"/>
    </mc:Choice>
  </mc:AlternateContent>
  <xr:revisionPtr revIDLastSave="0" documentId="13_ncr:1_{884631F8-5843-4480-A39B-F98A173A9EA6}" xr6:coauthVersionLast="45" xr6:coauthVersionMax="45" xr10:uidLastSave="{00000000-0000-0000-0000-000000000000}"/>
  <bookViews>
    <workbookView xWindow="22932" yWindow="-108" windowWidth="23256" windowHeight="14016" firstSheet="1" activeTab="1" xr2:uid="{00000000-000D-0000-FFFF-FFFF00000000}"/>
  </bookViews>
  <sheets>
    <sheet name="Main" sheetId="1" state="hidden" r:id="rId1"/>
    <sheet name="Sheet1" sheetId="1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12" l="1"/>
  <c r="I12" i="12"/>
  <c r="E12" i="12"/>
  <c r="D12" i="12"/>
  <c r="J11" i="12"/>
  <c r="I11" i="12"/>
  <c r="E11" i="12"/>
  <c r="D11" i="12"/>
  <c r="J10" i="12"/>
  <c r="I10" i="12"/>
  <c r="E10" i="12"/>
  <c r="D10" i="12"/>
  <c r="J9" i="12"/>
  <c r="I9" i="12"/>
  <c r="E9" i="12"/>
  <c r="D9" i="12"/>
  <c r="J8" i="12"/>
  <c r="I8" i="12"/>
  <c r="E8" i="12"/>
  <c r="D8" i="12"/>
  <c r="J7" i="12"/>
  <c r="I7" i="12"/>
  <c r="E7" i="12"/>
  <c r="D7" i="12"/>
  <c r="J6" i="12"/>
  <c r="I6" i="12"/>
  <c r="E6" i="12"/>
  <c r="D6" i="12"/>
  <c r="J5" i="12"/>
  <c r="I5" i="12"/>
  <c r="E5" i="12"/>
  <c r="D5" i="12"/>
  <c r="J4" i="12"/>
  <c r="I4" i="12"/>
  <c r="E4" i="12"/>
  <c r="D4" i="12"/>
  <c r="C3" i="1" l="1"/>
  <c r="C4" i="1"/>
  <c r="C5" i="1"/>
  <c r="C6" i="1"/>
  <c r="C7" i="1"/>
  <c r="C8" i="1"/>
  <c r="C9" i="1"/>
  <c r="C10" i="1"/>
  <c r="C11" i="1"/>
  <c r="C12" i="1"/>
  <c r="C13" i="1"/>
  <c r="C2" i="1"/>
</calcChain>
</file>

<file path=xl/sharedStrings.xml><?xml version="1.0" encoding="utf-8"?>
<sst xmlns="http://schemas.openxmlformats.org/spreadsheetml/2006/main" count="92" uniqueCount="60">
  <si>
    <t>Incident</t>
  </si>
  <si>
    <t>Receiving</t>
  </si>
  <si>
    <t>Flapping</t>
  </si>
  <si>
    <t>Rotating</t>
  </si>
  <si>
    <t>X_10</t>
  </si>
  <si>
    <t>Y_10</t>
  </si>
  <si>
    <t>Z_10</t>
  </si>
  <si>
    <t>x_10</t>
  </si>
  <si>
    <t>y_10</t>
  </si>
  <si>
    <t>L*</t>
  </si>
  <si>
    <t>a*</t>
  </si>
  <si>
    <t>b*</t>
  </si>
  <si>
    <t>C*ab</t>
  </si>
  <si>
    <t>h*ab</t>
  </si>
  <si>
    <t xml:space="preserve"> **.*</t>
  </si>
  <si>
    <t xml:space="preserve">  390nm</t>
  </si>
  <si>
    <t xml:space="preserve">  400nm</t>
  </si>
  <si>
    <t xml:space="preserve">  410nm</t>
  </si>
  <si>
    <t xml:space="preserve">  420nm</t>
  </si>
  <si>
    <t xml:space="preserve">  430nm</t>
  </si>
  <si>
    <t xml:space="preserve">  440nm</t>
  </si>
  <si>
    <t xml:space="preserve">  450nm</t>
  </si>
  <si>
    <t xml:space="preserve">  460nm</t>
  </si>
  <si>
    <t xml:space="preserve">  470nm</t>
  </si>
  <si>
    <t xml:space="preserve">  480nm</t>
  </si>
  <si>
    <t xml:space="preserve">  490nm</t>
  </si>
  <si>
    <t xml:space="preserve">  500nm</t>
  </si>
  <si>
    <t xml:space="preserve">  510nm</t>
  </si>
  <si>
    <t xml:space="preserve">  520nm</t>
  </si>
  <si>
    <t xml:space="preserve">  530nm</t>
  </si>
  <si>
    <t xml:space="preserve">  540nm</t>
  </si>
  <si>
    <t xml:space="preserve">  550nm</t>
  </si>
  <si>
    <t xml:space="preserve">  560nm</t>
  </si>
  <si>
    <t xml:space="preserve">  570nm</t>
  </si>
  <si>
    <t xml:space="preserve">  580nm</t>
  </si>
  <si>
    <t xml:space="preserve">  590nm</t>
  </si>
  <si>
    <t xml:space="preserve">  600nm</t>
  </si>
  <si>
    <t xml:space="preserve">  610nm</t>
  </si>
  <si>
    <t xml:space="preserve">  620nm</t>
  </si>
  <si>
    <t xml:space="preserve">  630nm</t>
  </si>
  <si>
    <t xml:space="preserve">  640nm</t>
  </si>
  <si>
    <t xml:space="preserve">  650nm</t>
  </si>
  <si>
    <t xml:space="preserve">  660nm</t>
  </si>
  <si>
    <t xml:space="preserve">  670nm</t>
  </si>
  <si>
    <t xml:space="preserve">  680nm</t>
  </si>
  <si>
    <t xml:space="preserve">  690nm</t>
  </si>
  <si>
    <t xml:space="preserve">  700nm</t>
  </si>
  <si>
    <t xml:space="preserve">  710nm</t>
  </si>
  <si>
    <t xml:space="preserve">  720nm</t>
  </si>
  <si>
    <t xml:space="preserve">  730nm</t>
  </si>
  <si>
    <t>Color</t>
  </si>
  <si>
    <t>Diffuse Side-by-Side 021920 (Lyuda Corrected Exposure)</t>
  </si>
  <si>
    <t>GoGn F11</t>
  </si>
  <si>
    <t>GoGn F19</t>
  </si>
  <si>
    <t>L</t>
  </si>
  <si>
    <t>a</t>
  </si>
  <si>
    <t>b</t>
  </si>
  <si>
    <t>C</t>
  </si>
  <si>
    <t>h</t>
  </si>
  <si>
    <t>Color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</si>
</sst>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Example</a:t>
            </a:r>
            <a:r>
              <a:rPr lang="en-US" baseline="0"/>
              <a:t> Output of "Graph_Color_Travel"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GoGnF11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4F81B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25.09</c:v>
              </c:pt>
              <c:pt idx="1">
                <c:v>18.440000000000001</c:v>
              </c:pt>
              <c:pt idx="2">
                <c:v>15.15</c:v>
              </c:pt>
              <c:pt idx="3">
                <c:v>8.11</c:v>
              </c:pt>
              <c:pt idx="4">
                <c:v>3.19</c:v>
              </c:pt>
              <c:pt idx="5">
                <c:v>-4.21</c:v>
              </c:pt>
              <c:pt idx="6">
                <c:v>-9.6999999999999993</c:v>
              </c:pt>
              <c:pt idx="7">
                <c:v>-13.26</c:v>
              </c:pt>
              <c:pt idx="8">
                <c:v>-16.010000000000002</c:v>
              </c:pt>
            </c:numLit>
          </c:xVal>
          <c:yVal>
            <c:numLit>
              <c:formatCode>General</c:formatCode>
              <c:ptCount val="9"/>
              <c:pt idx="0">
                <c:v>61.14</c:v>
              </c:pt>
              <c:pt idx="1">
                <c:v>58.06</c:v>
              </c:pt>
              <c:pt idx="2">
                <c:v>54.09</c:v>
              </c:pt>
              <c:pt idx="3">
                <c:v>52.15</c:v>
              </c:pt>
              <c:pt idx="4">
                <c:v>49.82</c:v>
              </c:pt>
              <c:pt idx="5">
                <c:v>48</c:v>
              </c:pt>
              <c:pt idx="6">
                <c:v>47.32</c:v>
              </c:pt>
              <c:pt idx="7">
                <c:v>44.82</c:v>
              </c:pt>
              <c:pt idx="8">
                <c:v>42.44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75-440C-A7E4-DD89F3D04280}"/>
            </c:ext>
          </c:extLst>
        </c:ser>
        <c:ser>
          <c:idx val="1"/>
          <c:order val="1"/>
          <c:tx>
            <c:v>GoGnF11_10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25.09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61.14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E75-440C-A7E4-DD89F3D04280}"/>
            </c:ext>
          </c:extLst>
        </c:ser>
        <c:ser>
          <c:idx val="2"/>
          <c:order val="2"/>
          <c:tx>
            <c:v>GoGnF11_15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18.440000000000001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58.06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E75-440C-A7E4-DD89F3D04280}"/>
            </c:ext>
          </c:extLst>
        </c:ser>
        <c:ser>
          <c:idx val="3"/>
          <c:order val="3"/>
          <c:tx>
            <c:v>GoGnF11_20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15.15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54.09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E75-440C-A7E4-DD89F3D04280}"/>
            </c:ext>
          </c:extLst>
        </c:ser>
        <c:ser>
          <c:idx val="4"/>
          <c:order val="4"/>
          <c:tx>
            <c:v>GoGnF11_25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52.15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E75-440C-A7E4-DD89F3D04280}"/>
            </c:ext>
          </c:extLst>
        </c:ser>
        <c:ser>
          <c:idx val="5"/>
          <c:order val="5"/>
          <c:tx>
            <c:v>GoGnF11_30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3.19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49.82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E75-440C-A7E4-DD89F3D04280}"/>
            </c:ext>
          </c:extLst>
        </c:ser>
        <c:ser>
          <c:idx val="6"/>
          <c:order val="6"/>
          <c:tx>
            <c:v>GoGnF11_35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-4.21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E75-440C-A7E4-DD89F3D04280}"/>
            </c:ext>
          </c:extLst>
        </c:ser>
        <c:ser>
          <c:idx val="7"/>
          <c:order val="7"/>
          <c:tx>
            <c:v>GoGnF11_40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-9.6999999999999993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47.32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E75-440C-A7E4-DD89F3D04280}"/>
            </c:ext>
          </c:extLst>
        </c:ser>
        <c:ser>
          <c:idx val="8"/>
          <c:order val="8"/>
          <c:tx>
            <c:v>GoGnF11_45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-13.26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44.82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E75-440C-A7E4-DD89F3D04280}"/>
            </c:ext>
          </c:extLst>
        </c:ser>
        <c:ser>
          <c:idx val="9"/>
          <c:order val="9"/>
          <c:tx>
            <c:v>GoGnF11_50</c:v>
          </c:tx>
          <c:spPr>
            <a:ln w="19050" cap="rnd" cmpd="sng" algn="ctr">
              <a:solidFill>
                <a:srgbClr val="4F81B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-16.010000000000002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42.44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E75-440C-A7E4-DD89F3D04280}"/>
            </c:ext>
          </c:extLst>
        </c:ser>
        <c:ser>
          <c:idx val="10"/>
          <c:order val="10"/>
          <c:tx>
            <c:v>GoGnF19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30.83</c:v>
              </c:pt>
              <c:pt idx="1">
                <c:v>24.74</c:v>
              </c:pt>
              <c:pt idx="2">
                <c:v>16.86</c:v>
              </c:pt>
              <c:pt idx="3">
                <c:v>7.79</c:v>
              </c:pt>
              <c:pt idx="4">
                <c:v>0.93</c:v>
              </c:pt>
              <c:pt idx="5">
                <c:v>-9.4600000000000009</c:v>
              </c:pt>
              <c:pt idx="6">
                <c:v>-14.06</c:v>
              </c:pt>
              <c:pt idx="7">
                <c:v>-19.95</c:v>
              </c:pt>
              <c:pt idx="8">
                <c:v>-23.81</c:v>
              </c:pt>
            </c:numLit>
          </c:xVal>
          <c:yVal>
            <c:numLit>
              <c:formatCode>General</c:formatCode>
              <c:ptCount val="9"/>
              <c:pt idx="0">
                <c:v>64.63</c:v>
              </c:pt>
              <c:pt idx="1">
                <c:v>61.05</c:v>
              </c:pt>
              <c:pt idx="2">
                <c:v>58.24</c:v>
              </c:pt>
              <c:pt idx="3">
                <c:v>56.73</c:v>
              </c:pt>
              <c:pt idx="4">
                <c:v>53.71</c:v>
              </c:pt>
              <c:pt idx="5">
                <c:v>52.76</c:v>
              </c:pt>
              <c:pt idx="6">
                <c:v>51.03</c:v>
              </c:pt>
              <c:pt idx="7">
                <c:v>48.87</c:v>
              </c:pt>
              <c:pt idx="8">
                <c:v>46.65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E75-440C-A7E4-DD89F3D04280}"/>
            </c:ext>
          </c:extLst>
        </c:ser>
        <c:ser>
          <c:idx val="11"/>
          <c:order val="11"/>
          <c:tx>
            <c:v>GoGnF19_10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30.83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64.63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E75-440C-A7E4-DD89F3D04280}"/>
            </c:ext>
          </c:extLst>
        </c:ser>
        <c:ser>
          <c:idx val="12"/>
          <c:order val="12"/>
          <c:tx>
            <c:v>GoGnF19_15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24.74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61.05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E75-440C-A7E4-DD89F3D04280}"/>
            </c:ext>
          </c:extLst>
        </c:ser>
        <c:ser>
          <c:idx val="13"/>
          <c:order val="13"/>
          <c:tx>
            <c:v>GoGnF19_20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16.86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58.24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E75-440C-A7E4-DD89F3D04280}"/>
            </c:ext>
          </c:extLst>
        </c:ser>
        <c:ser>
          <c:idx val="14"/>
          <c:order val="14"/>
          <c:tx>
            <c:v>GoGnF19_25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7.79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56.73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E75-440C-A7E4-DD89F3D04280}"/>
            </c:ext>
          </c:extLst>
        </c:ser>
        <c:ser>
          <c:idx val="15"/>
          <c:order val="15"/>
          <c:tx>
            <c:v>GoGnF19_30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53.71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E75-440C-A7E4-DD89F3D04280}"/>
            </c:ext>
          </c:extLst>
        </c:ser>
        <c:ser>
          <c:idx val="16"/>
          <c:order val="16"/>
          <c:tx>
            <c:v>GoGnF19_35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-9.4600000000000009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52.76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E75-440C-A7E4-DD89F3D04280}"/>
            </c:ext>
          </c:extLst>
        </c:ser>
        <c:ser>
          <c:idx val="17"/>
          <c:order val="17"/>
          <c:tx>
            <c:v>GoGnF19_40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-14.06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51.03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E75-440C-A7E4-DD89F3D04280}"/>
            </c:ext>
          </c:extLst>
        </c:ser>
        <c:ser>
          <c:idx val="18"/>
          <c:order val="18"/>
          <c:tx>
            <c:v>GoGnF19_45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-19.95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48.87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E75-440C-A7E4-DD89F3D04280}"/>
            </c:ext>
          </c:extLst>
        </c:ser>
        <c:ser>
          <c:idx val="19"/>
          <c:order val="19"/>
          <c:tx>
            <c:v>GoGnF19_50</c:v>
          </c:tx>
          <c:spPr>
            <a:ln w="19050" cap="rnd" cmpd="sng" algn="ctr">
              <a:solidFill>
                <a:srgbClr val="C0504D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-23.81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46.65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E75-440C-A7E4-DD89F3D04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76704"/>
        <c:axId val="533677360"/>
      </c:scatterChart>
      <c:valAx>
        <c:axId val="53367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7360"/>
        <c:crosses val="autoZero"/>
        <c:crossBetween val="midCat"/>
      </c:valAx>
      <c:valAx>
        <c:axId val="53367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6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449580</xdr:colOff>
      <xdr:row>1</xdr:row>
      <xdr:rowOff>49530</xdr:rowOff>
    </xdr:from>
    <xdr:to>
      <xdr:col>19</xdr:col>
      <xdr:colOff>144780</xdr:colOff>
      <xdr:row>16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57B260-67FB-42E1-9DD5-2600B7D24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8"/>
  <sheetViews>
    <sheetView workbookViewId="0">
      <selection activeCell="C15" sqref="C15"/>
    </sheetView>
  </sheetViews>
  <sheetFormatPr defaultRowHeight="14.4" x14ac:dyDescent="0.3"/>
  <sheetData>
    <row r="1" spans="1:40" x14ac:dyDescent="0.3">
      <c r="A1" t="s">
        <v>0</v>
      </c>
      <c r="B1" t="s">
        <v>1</v>
      </c>
      <c r="C1" t="s">
        <v>50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40" x14ac:dyDescent="0.3">
      <c r="A2">
        <v>70</v>
      </c>
      <c r="B2">
        <v>60</v>
      </c>
      <c r="C2">
        <f>(A2+B2)/2</f>
        <v>65</v>
      </c>
      <c r="D2">
        <v>0</v>
      </c>
      <c r="E2" t="s">
        <v>14</v>
      </c>
      <c r="F2">
        <v>565.79999999999995</v>
      </c>
      <c r="G2">
        <v>658.89</v>
      </c>
      <c r="H2">
        <v>915.39</v>
      </c>
      <c r="I2">
        <v>0.26440000000000002</v>
      </c>
      <c r="J2">
        <v>0.30790000000000001</v>
      </c>
      <c r="K2">
        <v>201.47</v>
      </c>
      <c r="L2">
        <v>-30.46</v>
      </c>
      <c r="M2">
        <v>-33.6</v>
      </c>
      <c r="N2">
        <v>45.36</v>
      </c>
      <c r="O2">
        <v>227.81</v>
      </c>
    </row>
    <row r="3" spans="1:40" x14ac:dyDescent="0.3">
      <c r="A3">
        <v>65</v>
      </c>
      <c r="B3">
        <v>55</v>
      </c>
      <c r="C3">
        <f t="shared" ref="C3:C13" si="0">(A3+B3)/2</f>
        <v>60</v>
      </c>
      <c r="D3">
        <v>0</v>
      </c>
      <c r="E3" t="s">
        <v>14</v>
      </c>
      <c r="F3">
        <v>412.94</v>
      </c>
      <c r="G3">
        <v>546.61</v>
      </c>
      <c r="H3">
        <v>636.98</v>
      </c>
      <c r="I3">
        <v>0.2586</v>
      </c>
      <c r="J3">
        <v>0.34239999999999998</v>
      </c>
      <c r="K3">
        <v>188.34</v>
      </c>
      <c r="L3">
        <v>-64.25</v>
      </c>
      <c r="M3">
        <v>-9.73</v>
      </c>
      <c r="N3">
        <v>64.98</v>
      </c>
      <c r="O3">
        <v>188.61</v>
      </c>
    </row>
    <row r="4" spans="1:40" x14ac:dyDescent="0.3">
      <c r="A4">
        <v>60</v>
      </c>
      <c r="B4">
        <v>50</v>
      </c>
      <c r="C4">
        <f t="shared" si="0"/>
        <v>55</v>
      </c>
      <c r="D4">
        <v>0</v>
      </c>
      <c r="E4" t="s">
        <v>14</v>
      </c>
      <c r="F4">
        <v>351.31</v>
      </c>
      <c r="G4">
        <v>516</v>
      </c>
      <c r="H4">
        <v>418.99</v>
      </c>
      <c r="I4">
        <v>0.27310000000000001</v>
      </c>
      <c r="J4">
        <v>0.4012</v>
      </c>
      <c r="K4">
        <v>184.45</v>
      </c>
      <c r="L4">
        <v>-90.32</v>
      </c>
      <c r="M4">
        <v>30.75</v>
      </c>
      <c r="N4">
        <v>95.41</v>
      </c>
      <c r="O4">
        <v>161.19999999999999</v>
      </c>
    </row>
    <row r="5" spans="1:40" x14ac:dyDescent="0.3">
      <c r="A5">
        <v>55</v>
      </c>
      <c r="B5">
        <v>45</v>
      </c>
      <c r="C5">
        <f t="shared" si="0"/>
        <v>50</v>
      </c>
      <c r="D5">
        <v>0</v>
      </c>
      <c r="E5" t="s">
        <v>14</v>
      </c>
      <c r="F5">
        <v>337.24</v>
      </c>
      <c r="G5">
        <v>504.48</v>
      </c>
      <c r="H5">
        <v>259.05</v>
      </c>
      <c r="I5">
        <v>0.30640000000000001</v>
      </c>
      <c r="J5">
        <v>0.45829999999999999</v>
      </c>
      <c r="K5">
        <v>182.95</v>
      </c>
      <c r="L5">
        <v>-94.31</v>
      </c>
      <c r="M5">
        <v>74.790000000000006</v>
      </c>
      <c r="N5">
        <v>120.36</v>
      </c>
      <c r="O5">
        <v>141.59</v>
      </c>
    </row>
    <row r="6" spans="1:40" x14ac:dyDescent="0.3">
      <c r="A6">
        <v>50</v>
      </c>
      <c r="B6">
        <v>40</v>
      </c>
      <c r="C6">
        <f t="shared" si="0"/>
        <v>45</v>
      </c>
      <c r="D6">
        <v>0</v>
      </c>
      <c r="E6" t="s">
        <v>14</v>
      </c>
      <c r="F6">
        <v>347.61</v>
      </c>
      <c r="G6">
        <v>486.81</v>
      </c>
      <c r="H6">
        <v>159.88</v>
      </c>
      <c r="I6">
        <v>0.34960000000000002</v>
      </c>
      <c r="J6">
        <v>0.48959999999999998</v>
      </c>
      <c r="K6">
        <v>180.6</v>
      </c>
      <c r="L6">
        <v>-76.430000000000007</v>
      </c>
      <c r="M6">
        <v>110.59</v>
      </c>
      <c r="N6">
        <v>134.43</v>
      </c>
      <c r="O6">
        <v>124.65</v>
      </c>
    </row>
    <row r="7" spans="1:40" x14ac:dyDescent="0.3">
      <c r="A7">
        <v>45</v>
      </c>
      <c r="B7">
        <v>35</v>
      </c>
      <c r="C7">
        <f t="shared" si="0"/>
        <v>40</v>
      </c>
      <c r="D7">
        <v>0</v>
      </c>
      <c r="E7" t="s">
        <v>14</v>
      </c>
      <c r="F7">
        <v>361.22</v>
      </c>
      <c r="G7">
        <v>449.68</v>
      </c>
      <c r="H7">
        <v>108.51</v>
      </c>
      <c r="I7">
        <v>0.39290000000000003</v>
      </c>
      <c r="J7">
        <v>0.48909999999999998</v>
      </c>
      <c r="K7">
        <v>175.47</v>
      </c>
      <c r="L7">
        <v>-44.38</v>
      </c>
      <c r="M7">
        <v>129.41999999999999</v>
      </c>
      <c r="N7">
        <v>136.82</v>
      </c>
      <c r="O7">
        <v>108.93</v>
      </c>
    </row>
    <row r="8" spans="1:40" x14ac:dyDescent="0.3">
      <c r="A8">
        <v>40</v>
      </c>
      <c r="B8">
        <v>30</v>
      </c>
      <c r="C8">
        <f t="shared" si="0"/>
        <v>35</v>
      </c>
      <c r="D8">
        <v>0</v>
      </c>
      <c r="E8" t="s">
        <v>14</v>
      </c>
      <c r="F8">
        <v>374.11</v>
      </c>
      <c r="G8">
        <v>406.79</v>
      </c>
      <c r="H8">
        <v>93.56</v>
      </c>
      <c r="I8">
        <v>0.42780000000000001</v>
      </c>
      <c r="J8">
        <v>0.4652</v>
      </c>
      <c r="K8">
        <v>169.18</v>
      </c>
      <c r="L8">
        <v>-8.09</v>
      </c>
      <c r="M8">
        <v>128.25</v>
      </c>
      <c r="N8">
        <v>128.5</v>
      </c>
      <c r="O8">
        <v>93.61</v>
      </c>
    </row>
    <row r="9" spans="1:40" x14ac:dyDescent="0.3">
      <c r="A9">
        <v>35</v>
      </c>
      <c r="B9">
        <v>25</v>
      </c>
      <c r="C9">
        <f t="shared" si="0"/>
        <v>30</v>
      </c>
      <c r="D9">
        <v>0</v>
      </c>
      <c r="E9" t="s">
        <v>14</v>
      </c>
      <c r="F9">
        <v>370.56</v>
      </c>
      <c r="G9">
        <v>354.08</v>
      </c>
      <c r="H9">
        <v>98.51</v>
      </c>
      <c r="I9">
        <v>0.45019999999999999</v>
      </c>
      <c r="J9">
        <v>0.43020000000000003</v>
      </c>
      <c r="K9">
        <v>160.80000000000001</v>
      </c>
      <c r="L9">
        <v>25.49</v>
      </c>
      <c r="M9">
        <v>110.51</v>
      </c>
      <c r="N9">
        <v>113.41</v>
      </c>
      <c r="O9">
        <v>77.010000000000005</v>
      </c>
    </row>
    <row r="10" spans="1:40" x14ac:dyDescent="0.3">
      <c r="A10">
        <v>30</v>
      </c>
      <c r="B10">
        <v>20</v>
      </c>
      <c r="C10">
        <f t="shared" si="0"/>
        <v>25</v>
      </c>
      <c r="D10">
        <v>0</v>
      </c>
      <c r="E10" t="s">
        <v>14</v>
      </c>
      <c r="F10">
        <v>354.78</v>
      </c>
      <c r="G10">
        <v>302.49</v>
      </c>
      <c r="H10">
        <v>115.35</v>
      </c>
      <c r="I10">
        <v>0.4592</v>
      </c>
      <c r="J10">
        <v>0.39150000000000001</v>
      </c>
      <c r="K10">
        <v>151.76</v>
      </c>
      <c r="L10">
        <v>53.12</v>
      </c>
      <c r="M10">
        <v>84.42</v>
      </c>
      <c r="N10">
        <v>99.74</v>
      </c>
      <c r="O10">
        <v>57.82</v>
      </c>
    </row>
    <row r="11" spans="1:40" x14ac:dyDescent="0.3">
      <c r="A11">
        <v>25</v>
      </c>
      <c r="B11">
        <v>15</v>
      </c>
      <c r="C11">
        <f t="shared" si="0"/>
        <v>20</v>
      </c>
      <c r="D11">
        <v>0</v>
      </c>
      <c r="E11" t="s">
        <v>14</v>
      </c>
      <c r="F11">
        <v>340.17</v>
      </c>
      <c r="G11">
        <v>264.39999999999998</v>
      </c>
      <c r="H11">
        <v>139.33000000000001</v>
      </c>
      <c r="I11">
        <v>0.45729999999999998</v>
      </c>
      <c r="J11">
        <v>0.35539999999999999</v>
      </c>
      <c r="K11">
        <v>144.4</v>
      </c>
      <c r="L11">
        <v>74.040000000000006</v>
      </c>
      <c r="M11">
        <v>58.42</v>
      </c>
      <c r="N11">
        <v>94.31</v>
      </c>
      <c r="O11">
        <v>38.28</v>
      </c>
    </row>
    <row r="12" spans="1:40" x14ac:dyDescent="0.3">
      <c r="A12">
        <v>20</v>
      </c>
      <c r="B12">
        <v>10</v>
      </c>
      <c r="C12">
        <f t="shared" si="0"/>
        <v>15</v>
      </c>
      <c r="D12">
        <v>0</v>
      </c>
      <c r="E12" t="s">
        <v>14</v>
      </c>
      <c r="F12">
        <v>320.91000000000003</v>
      </c>
      <c r="G12">
        <v>232.87</v>
      </c>
      <c r="H12">
        <v>160.54</v>
      </c>
      <c r="I12">
        <v>0.44919999999999999</v>
      </c>
      <c r="J12">
        <v>0.32600000000000001</v>
      </c>
      <c r="K12">
        <v>137.76</v>
      </c>
      <c r="L12">
        <v>87.96</v>
      </c>
      <c r="M12">
        <v>36.409999999999997</v>
      </c>
      <c r="N12">
        <v>95.2</v>
      </c>
      <c r="O12">
        <v>22.49</v>
      </c>
    </row>
    <row r="13" spans="1:40" x14ac:dyDescent="0.3">
      <c r="A13">
        <v>15</v>
      </c>
      <c r="B13">
        <v>5</v>
      </c>
      <c r="C13">
        <f t="shared" si="0"/>
        <v>10</v>
      </c>
      <c r="D13">
        <v>0</v>
      </c>
      <c r="E13" t="s">
        <v>14</v>
      </c>
      <c r="F13">
        <v>310.61</v>
      </c>
      <c r="G13">
        <v>214.91</v>
      </c>
      <c r="H13">
        <v>181.06</v>
      </c>
      <c r="I13">
        <v>0.43959999999999999</v>
      </c>
      <c r="J13">
        <v>0.30420000000000003</v>
      </c>
      <c r="K13">
        <v>133.69999999999999</v>
      </c>
      <c r="L13">
        <v>97.34</v>
      </c>
      <c r="M13">
        <v>20.059999999999999</v>
      </c>
      <c r="N13">
        <v>99.39</v>
      </c>
      <c r="O13">
        <v>11.64</v>
      </c>
    </row>
    <row r="16" spans="1:40" x14ac:dyDescent="0.3">
      <c r="A16" t="s">
        <v>0</v>
      </c>
      <c r="B16" t="s">
        <v>1</v>
      </c>
      <c r="D16" t="s">
        <v>2</v>
      </c>
      <c r="E16" t="s">
        <v>3</v>
      </c>
      <c r="F16" t="s">
        <v>15</v>
      </c>
      <c r="G16" t="s">
        <v>16</v>
      </c>
      <c r="H16" t="s">
        <v>17</v>
      </c>
      <c r="I16" t="s">
        <v>18</v>
      </c>
      <c r="J16" t="s">
        <v>19</v>
      </c>
      <c r="K16" t="s">
        <v>20</v>
      </c>
      <c r="L16" t="s">
        <v>21</v>
      </c>
      <c r="M16" t="s">
        <v>22</v>
      </c>
      <c r="N16" t="s">
        <v>23</v>
      </c>
      <c r="O16" t="s">
        <v>24</v>
      </c>
      <c r="P16" t="s">
        <v>25</v>
      </c>
      <c r="Q16" t="s">
        <v>26</v>
      </c>
      <c r="R16" t="s">
        <v>27</v>
      </c>
      <c r="S16" t="s">
        <v>28</v>
      </c>
      <c r="T16" t="s">
        <v>29</v>
      </c>
      <c r="U16" t="s">
        <v>30</v>
      </c>
      <c r="V16" t="s">
        <v>31</v>
      </c>
      <c r="W16" t="s">
        <v>32</v>
      </c>
      <c r="X16" t="s">
        <v>33</v>
      </c>
      <c r="Y16" t="s">
        <v>34</v>
      </c>
      <c r="Z16" t="s">
        <v>35</v>
      </c>
      <c r="AA16" t="s">
        <v>36</v>
      </c>
      <c r="AB16" t="s">
        <v>37</v>
      </c>
      <c r="AC16" t="s">
        <v>38</v>
      </c>
      <c r="AD16" t="s">
        <v>39</v>
      </c>
      <c r="AE16" t="s">
        <v>40</v>
      </c>
      <c r="AF16" t="s">
        <v>41</v>
      </c>
      <c r="AG16" t="s">
        <v>42</v>
      </c>
      <c r="AH16" t="s">
        <v>43</v>
      </c>
      <c r="AI16" t="s">
        <v>44</v>
      </c>
      <c r="AJ16" t="s">
        <v>45</v>
      </c>
      <c r="AK16" t="s">
        <v>46</v>
      </c>
      <c r="AL16" t="s">
        <v>47</v>
      </c>
      <c r="AM16" t="s">
        <v>48</v>
      </c>
      <c r="AN16" t="s">
        <v>49</v>
      </c>
    </row>
    <row r="17" spans="1:40" x14ac:dyDescent="0.3">
      <c r="A17">
        <v>70</v>
      </c>
      <c r="B17">
        <v>60</v>
      </c>
      <c r="D17">
        <v>0</v>
      </c>
      <c r="E17" t="s">
        <v>14</v>
      </c>
      <c r="F17">
        <v>4.0172999999999996</v>
      </c>
      <c r="G17">
        <v>4.4356999999999998</v>
      </c>
      <c r="H17">
        <v>5.0362999999999998</v>
      </c>
      <c r="I17">
        <v>5.8204000000000002</v>
      </c>
      <c r="J17">
        <v>6.7653999999999996</v>
      </c>
      <c r="K17">
        <v>7.8250000000000002</v>
      </c>
      <c r="L17">
        <v>8.8607999999999993</v>
      </c>
      <c r="M17">
        <v>9.7431999999999999</v>
      </c>
      <c r="N17">
        <v>10.183199999999999</v>
      </c>
      <c r="O17">
        <v>10.129899999999999</v>
      </c>
      <c r="P17">
        <v>9.6868999999999996</v>
      </c>
      <c r="Q17">
        <v>9.0230999999999995</v>
      </c>
      <c r="R17">
        <v>8.3271999999999995</v>
      </c>
      <c r="S17">
        <v>7.6173000000000002</v>
      </c>
      <c r="T17">
        <v>7.0115999999999996</v>
      </c>
      <c r="U17">
        <v>6.5270000000000001</v>
      </c>
      <c r="V17">
        <v>6.1635</v>
      </c>
      <c r="W17">
        <v>5.8803999999999998</v>
      </c>
      <c r="X17">
        <v>5.6391999999999998</v>
      </c>
      <c r="Y17">
        <v>5.4398</v>
      </c>
      <c r="Z17">
        <v>5.2652000000000001</v>
      </c>
      <c r="AA17">
        <v>5.1071999999999997</v>
      </c>
      <c r="AB17">
        <v>4.9740000000000002</v>
      </c>
      <c r="AC17">
        <v>4.8826999999999998</v>
      </c>
      <c r="AD17">
        <v>4.8140999999999998</v>
      </c>
      <c r="AE17">
        <v>4.7876000000000003</v>
      </c>
      <c r="AF17">
        <v>4.7835000000000001</v>
      </c>
      <c r="AG17">
        <v>4.8010999999999999</v>
      </c>
      <c r="AH17">
        <v>4.8010999999999999</v>
      </c>
      <c r="AI17">
        <v>4.8436000000000003</v>
      </c>
      <c r="AJ17">
        <v>4.8837999999999999</v>
      </c>
      <c r="AK17">
        <v>4.9737999999999998</v>
      </c>
      <c r="AL17">
        <v>5.0732999999999997</v>
      </c>
      <c r="AM17">
        <v>5.1929999999999996</v>
      </c>
      <c r="AN17">
        <v>5.3353999999999999</v>
      </c>
    </row>
    <row r="18" spans="1:40" x14ac:dyDescent="0.3">
      <c r="A18">
        <v>65</v>
      </c>
      <c r="B18">
        <v>55</v>
      </c>
      <c r="D18">
        <v>0</v>
      </c>
      <c r="E18" t="s">
        <v>14</v>
      </c>
      <c r="F18">
        <v>2.2462</v>
      </c>
      <c r="G18">
        <v>2.3797999999999999</v>
      </c>
      <c r="H18">
        <v>2.7126999999999999</v>
      </c>
      <c r="I18">
        <v>3.1911999999999998</v>
      </c>
      <c r="J18">
        <v>3.8384999999999998</v>
      </c>
      <c r="K18">
        <v>4.6936999999999998</v>
      </c>
      <c r="L18">
        <v>5.6909999999999998</v>
      </c>
      <c r="M18">
        <v>6.8750999999999998</v>
      </c>
      <c r="N18">
        <v>7.9218000000000002</v>
      </c>
      <c r="O18">
        <v>8.6308000000000007</v>
      </c>
      <c r="P18">
        <v>8.8030000000000008</v>
      </c>
      <c r="Q18">
        <v>8.4987999999999992</v>
      </c>
      <c r="R18">
        <v>7.8887</v>
      </c>
      <c r="S18">
        <v>7.1406000000000001</v>
      </c>
      <c r="T18">
        <v>6.4095000000000004</v>
      </c>
      <c r="U18">
        <v>5.7476000000000003</v>
      </c>
      <c r="V18">
        <v>5.2192999999999996</v>
      </c>
      <c r="W18">
        <v>4.7808000000000002</v>
      </c>
      <c r="X18">
        <v>4.4211999999999998</v>
      </c>
      <c r="Y18">
        <v>4.1210000000000004</v>
      </c>
      <c r="Z18">
        <v>3.8643000000000001</v>
      </c>
      <c r="AA18">
        <v>3.6429</v>
      </c>
      <c r="AB18">
        <v>3.4540999999999999</v>
      </c>
      <c r="AC18">
        <v>3.3081999999999998</v>
      </c>
      <c r="AD18">
        <v>3.1879</v>
      </c>
      <c r="AE18">
        <v>3.0985</v>
      </c>
      <c r="AF18">
        <v>3.04</v>
      </c>
      <c r="AG18">
        <v>2.9935999999999998</v>
      </c>
      <c r="AH18">
        <v>2.9540000000000002</v>
      </c>
      <c r="AI18">
        <v>2.9456000000000002</v>
      </c>
      <c r="AJ18">
        <v>2.9413999999999998</v>
      </c>
      <c r="AK18">
        <v>2.9722</v>
      </c>
      <c r="AL18">
        <v>3.0169000000000001</v>
      </c>
      <c r="AM18">
        <v>3.0815000000000001</v>
      </c>
      <c r="AN18">
        <v>3.1661999999999999</v>
      </c>
    </row>
    <row r="19" spans="1:40" x14ac:dyDescent="0.3">
      <c r="A19">
        <v>60</v>
      </c>
      <c r="B19">
        <v>50</v>
      </c>
      <c r="D19">
        <v>0</v>
      </c>
      <c r="E19" t="s">
        <v>14</v>
      </c>
      <c r="F19">
        <v>1.631</v>
      </c>
      <c r="G19">
        <v>1.5043</v>
      </c>
      <c r="H19">
        <v>1.5770999999999999</v>
      </c>
      <c r="I19">
        <v>1.7927</v>
      </c>
      <c r="J19">
        <v>2.1389999999999998</v>
      </c>
      <c r="K19">
        <v>2.6562999999999999</v>
      </c>
      <c r="L19">
        <v>3.3277000000000001</v>
      </c>
      <c r="M19">
        <v>4.2847</v>
      </c>
      <c r="N19">
        <v>5.4215</v>
      </c>
      <c r="O19">
        <v>6.5758000000000001</v>
      </c>
      <c r="P19">
        <v>7.5038999999999998</v>
      </c>
      <c r="Q19">
        <v>7.9729000000000001</v>
      </c>
      <c r="R19">
        <v>7.9154999999999998</v>
      </c>
      <c r="S19">
        <v>7.4180000000000001</v>
      </c>
      <c r="T19">
        <v>6.7381000000000002</v>
      </c>
      <c r="U19">
        <v>6.016</v>
      </c>
      <c r="V19">
        <v>5.3402000000000003</v>
      </c>
      <c r="W19">
        <v>4.7438000000000002</v>
      </c>
      <c r="X19">
        <v>4.2572000000000001</v>
      </c>
      <c r="Y19">
        <v>3.8426999999999998</v>
      </c>
      <c r="Z19">
        <v>3.4923000000000002</v>
      </c>
      <c r="AA19">
        <v>3.2031999999999998</v>
      </c>
      <c r="AB19">
        <v>2.9579</v>
      </c>
      <c r="AC19">
        <v>2.7507000000000001</v>
      </c>
      <c r="AD19">
        <v>2.5767000000000002</v>
      </c>
      <c r="AE19">
        <v>2.4325999999999999</v>
      </c>
      <c r="AF19">
        <v>2.3201999999999998</v>
      </c>
      <c r="AG19">
        <v>2.2246999999999999</v>
      </c>
      <c r="AH19">
        <v>2.1371000000000002</v>
      </c>
      <c r="AI19">
        <v>2.0779999999999998</v>
      </c>
      <c r="AJ19">
        <v>2.0266999999999999</v>
      </c>
      <c r="AK19">
        <v>2.0047999999999999</v>
      </c>
      <c r="AL19">
        <v>1.9948999999999999</v>
      </c>
      <c r="AM19">
        <v>2.0032000000000001</v>
      </c>
      <c r="AN19">
        <v>2.0310999999999999</v>
      </c>
    </row>
    <row r="20" spans="1:40" x14ac:dyDescent="0.3">
      <c r="A20">
        <v>55</v>
      </c>
      <c r="B20">
        <v>45</v>
      </c>
      <c r="D20">
        <v>0</v>
      </c>
      <c r="E20" t="s">
        <v>14</v>
      </c>
      <c r="F20">
        <v>1.7149000000000001</v>
      </c>
      <c r="G20">
        <v>1.2914000000000001</v>
      </c>
      <c r="H20">
        <v>1.1216999999999999</v>
      </c>
      <c r="I20">
        <v>1.1204000000000001</v>
      </c>
      <c r="J20">
        <v>1.2438</v>
      </c>
      <c r="K20">
        <v>1.4865999999999999</v>
      </c>
      <c r="L20">
        <v>1.8471</v>
      </c>
      <c r="M20">
        <v>2.4319999999999999</v>
      </c>
      <c r="N20">
        <v>3.2075999999999998</v>
      </c>
      <c r="O20">
        <v>4.2222999999999997</v>
      </c>
      <c r="P20">
        <v>5.3684000000000003</v>
      </c>
      <c r="Q20">
        <v>6.4337999999999997</v>
      </c>
      <c r="R20">
        <v>7.1481000000000003</v>
      </c>
      <c r="S20">
        <v>7.3598999999999997</v>
      </c>
      <c r="T20">
        <v>7.1116999999999999</v>
      </c>
      <c r="U20">
        <v>6.5548000000000002</v>
      </c>
      <c r="V20">
        <v>5.8917999999999999</v>
      </c>
      <c r="W20">
        <v>5.2220000000000004</v>
      </c>
      <c r="X20">
        <v>4.6130000000000004</v>
      </c>
      <c r="Y20">
        <v>4.0907999999999998</v>
      </c>
      <c r="Z20">
        <v>3.6432000000000002</v>
      </c>
      <c r="AA20">
        <v>3.2629999999999999</v>
      </c>
      <c r="AB20">
        <v>2.9459</v>
      </c>
      <c r="AC20">
        <v>2.6776</v>
      </c>
      <c r="AD20">
        <v>2.4527999999999999</v>
      </c>
      <c r="AE20">
        <v>2.2545999999999999</v>
      </c>
      <c r="AF20">
        <v>2.0956000000000001</v>
      </c>
      <c r="AG20">
        <v>1.9568000000000001</v>
      </c>
      <c r="AH20">
        <v>1.831</v>
      </c>
      <c r="AI20">
        <v>1.7343999999999999</v>
      </c>
      <c r="AJ20">
        <v>1.6443000000000001</v>
      </c>
      <c r="AK20">
        <v>1.5823</v>
      </c>
      <c r="AL20">
        <v>1.5325</v>
      </c>
      <c r="AM20">
        <v>1.4953000000000001</v>
      </c>
      <c r="AN20">
        <v>1.4752000000000001</v>
      </c>
    </row>
    <row r="21" spans="1:40" x14ac:dyDescent="0.3">
      <c r="A21">
        <v>50</v>
      </c>
      <c r="B21">
        <v>40</v>
      </c>
      <c r="D21">
        <v>0</v>
      </c>
      <c r="E21" t="s">
        <v>14</v>
      </c>
      <c r="F21">
        <v>2.3328000000000002</v>
      </c>
      <c r="G21">
        <v>1.5542</v>
      </c>
      <c r="H21">
        <v>1.1231</v>
      </c>
      <c r="I21">
        <v>0.91080000000000005</v>
      </c>
      <c r="J21">
        <v>0.85050000000000003</v>
      </c>
      <c r="K21">
        <v>0.90980000000000005</v>
      </c>
      <c r="L21">
        <v>1.0654999999999999</v>
      </c>
      <c r="M21">
        <v>1.3548</v>
      </c>
      <c r="N21">
        <v>1.7826</v>
      </c>
      <c r="O21">
        <v>2.4068999999999998</v>
      </c>
      <c r="P21">
        <v>3.2770000000000001</v>
      </c>
      <c r="Q21">
        <v>4.3255999999999997</v>
      </c>
      <c r="R21">
        <v>5.4177999999999997</v>
      </c>
      <c r="S21">
        <v>6.3041</v>
      </c>
      <c r="T21">
        <v>6.7831999999999999</v>
      </c>
      <c r="U21">
        <v>6.7824999999999998</v>
      </c>
      <c r="V21">
        <v>6.4287999999999998</v>
      </c>
      <c r="W21">
        <v>5.8551000000000002</v>
      </c>
      <c r="X21">
        <v>5.2291999999999996</v>
      </c>
      <c r="Y21">
        <v>4.6177999999999999</v>
      </c>
      <c r="Z21">
        <v>4.0721999999999996</v>
      </c>
      <c r="AA21">
        <v>3.6122999999999998</v>
      </c>
      <c r="AB21">
        <v>3.2170999999999998</v>
      </c>
      <c r="AC21">
        <v>2.8761999999999999</v>
      </c>
      <c r="AD21">
        <v>2.5863</v>
      </c>
      <c r="AE21">
        <v>2.3397000000000001</v>
      </c>
      <c r="AF21">
        <v>2.1305000000000001</v>
      </c>
      <c r="AG21">
        <v>1.9516</v>
      </c>
      <c r="AH21">
        <v>1.7922</v>
      </c>
      <c r="AI21">
        <v>1.6583000000000001</v>
      </c>
      <c r="AJ21">
        <v>1.5365</v>
      </c>
      <c r="AK21">
        <v>1.4435</v>
      </c>
      <c r="AL21">
        <v>1.3628</v>
      </c>
      <c r="AM21">
        <v>1.2901</v>
      </c>
      <c r="AN21">
        <v>1.2355</v>
      </c>
    </row>
    <row r="22" spans="1:40" x14ac:dyDescent="0.3">
      <c r="A22">
        <v>45</v>
      </c>
      <c r="B22">
        <v>35</v>
      </c>
      <c r="D22">
        <v>0</v>
      </c>
      <c r="E22" t="s">
        <v>14</v>
      </c>
      <c r="F22">
        <v>3.3048999999999999</v>
      </c>
      <c r="G22">
        <v>2.1974</v>
      </c>
      <c r="H22">
        <v>1.4383999999999999</v>
      </c>
      <c r="I22">
        <v>1.0045999999999999</v>
      </c>
      <c r="J22">
        <v>0.77780000000000005</v>
      </c>
      <c r="K22">
        <v>0.69410000000000005</v>
      </c>
      <c r="L22">
        <v>0.7046</v>
      </c>
      <c r="M22">
        <v>0.80889999999999995</v>
      </c>
      <c r="N22">
        <v>1.0056</v>
      </c>
      <c r="O22">
        <v>1.3288</v>
      </c>
      <c r="P22">
        <v>1.8275999999999999</v>
      </c>
      <c r="Q22">
        <v>2.5335999999999999</v>
      </c>
      <c r="R22">
        <v>3.4514</v>
      </c>
      <c r="S22">
        <v>4.4749999999999996</v>
      </c>
      <c r="T22">
        <v>5.4443999999999999</v>
      </c>
      <c r="U22">
        <v>6.1083999999999996</v>
      </c>
      <c r="V22">
        <v>6.3689999999999998</v>
      </c>
      <c r="W22">
        <v>6.1959999999999997</v>
      </c>
      <c r="X22">
        <v>5.7678000000000003</v>
      </c>
      <c r="Y22">
        <v>5.2100999999999997</v>
      </c>
      <c r="Z22">
        <v>4.6288</v>
      </c>
      <c r="AA22">
        <v>4.0883000000000003</v>
      </c>
      <c r="AB22">
        <v>3.6233</v>
      </c>
      <c r="AC22">
        <v>3.2157</v>
      </c>
      <c r="AD22">
        <v>2.8748</v>
      </c>
      <c r="AE22">
        <v>2.5701000000000001</v>
      </c>
      <c r="AF22">
        <v>2.3107000000000002</v>
      </c>
      <c r="AG22">
        <v>2.0916000000000001</v>
      </c>
      <c r="AH22">
        <v>1.8971</v>
      </c>
      <c r="AI22">
        <v>1.7327999999999999</v>
      </c>
      <c r="AJ22">
        <v>1.5839000000000001</v>
      </c>
      <c r="AK22">
        <v>1.4611000000000001</v>
      </c>
      <c r="AL22">
        <v>1.3478000000000001</v>
      </c>
      <c r="AM22">
        <v>1.2558</v>
      </c>
      <c r="AN22">
        <v>1.1747000000000001</v>
      </c>
    </row>
    <row r="23" spans="1:40" x14ac:dyDescent="0.3">
      <c r="A23">
        <v>40</v>
      </c>
      <c r="B23">
        <v>30</v>
      </c>
      <c r="D23">
        <v>0</v>
      </c>
      <c r="E23" t="s">
        <v>14</v>
      </c>
      <c r="F23">
        <v>4.3548999999999998</v>
      </c>
      <c r="G23">
        <v>3.1486000000000001</v>
      </c>
      <c r="H23">
        <v>2.0749</v>
      </c>
      <c r="I23">
        <v>1.3519000000000001</v>
      </c>
      <c r="J23">
        <v>0.93520000000000003</v>
      </c>
      <c r="K23">
        <v>0.7147</v>
      </c>
      <c r="L23">
        <v>0.62170000000000003</v>
      </c>
      <c r="M23">
        <v>0.60570000000000002</v>
      </c>
      <c r="N23">
        <v>0.66</v>
      </c>
      <c r="O23">
        <v>0.80559999999999998</v>
      </c>
      <c r="P23">
        <v>1.0603</v>
      </c>
      <c r="Q23">
        <v>1.4646999999999999</v>
      </c>
      <c r="R23">
        <v>2.06</v>
      </c>
      <c r="S23">
        <v>2.8612000000000002</v>
      </c>
      <c r="T23">
        <v>3.8195999999999999</v>
      </c>
      <c r="U23">
        <v>4.7908999999999997</v>
      </c>
      <c r="V23">
        <v>5.5922000000000001</v>
      </c>
      <c r="W23">
        <v>6.0030000000000001</v>
      </c>
      <c r="X23">
        <v>6.0252999999999997</v>
      </c>
      <c r="Y23">
        <v>5.7229000000000001</v>
      </c>
      <c r="Z23">
        <v>5.2385000000000002</v>
      </c>
      <c r="AA23">
        <v>4.6978999999999997</v>
      </c>
      <c r="AB23">
        <v>4.1779000000000002</v>
      </c>
      <c r="AC23">
        <v>3.7054</v>
      </c>
      <c r="AD23">
        <v>3.2974999999999999</v>
      </c>
      <c r="AE23">
        <v>2.9336000000000002</v>
      </c>
      <c r="AF23">
        <v>2.6215000000000002</v>
      </c>
      <c r="AG23">
        <v>2.3567</v>
      </c>
      <c r="AH23">
        <v>2.1240999999999999</v>
      </c>
      <c r="AI23">
        <v>1.9258</v>
      </c>
      <c r="AJ23">
        <v>1.7446999999999999</v>
      </c>
      <c r="AK23">
        <v>1.5971</v>
      </c>
      <c r="AL23">
        <v>1.4601999999999999</v>
      </c>
      <c r="AM23">
        <v>1.3405</v>
      </c>
      <c r="AN23">
        <v>1.2355</v>
      </c>
    </row>
    <row r="24" spans="1:40" x14ac:dyDescent="0.3">
      <c r="A24">
        <v>35</v>
      </c>
      <c r="B24">
        <v>25</v>
      </c>
      <c r="D24">
        <v>0</v>
      </c>
      <c r="E24" t="s">
        <v>14</v>
      </c>
      <c r="F24">
        <v>4.8449999999999998</v>
      </c>
      <c r="G24">
        <v>4.0597000000000003</v>
      </c>
      <c r="H24">
        <v>2.8727</v>
      </c>
      <c r="I24">
        <v>1.8812</v>
      </c>
      <c r="J24">
        <v>1.2405999999999999</v>
      </c>
      <c r="K24">
        <v>0.86350000000000005</v>
      </c>
      <c r="L24">
        <v>0.66800000000000004</v>
      </c>
      <c r="M24">
        <v>0.56710000000000005</v>
      </c>
      <c r="N24">
        <v>0.53029999999999999</v>
      </c>
      <c r="O24">
        <v>0.5635</v>
      </c>
      <c r="P24">
        <v>0.67710000000000004</v>
      </c>
      <c r="Q24">
        <v>0.88819999999999999</v>
      </c>
      <c r="R24">
        <v>1.2323</v>
      </c>
      <c r="S24">
        <v>1.7463</v>
      </c>
      <c r="T24">
        <v>2.4653999999999998</v>
      </c>
      <c r="U24">
        <v>3.3523999999999998</v>
      </c>
      <c r="V24">
        <v>4.2961999999999998</v>
      </c>
      <c r="W24">
        <v>5.0987</v>
      </c>
      <c r="X24">
        <v>5.6166999999999998</v>
      </c>
      <c r="Y24">
        <v>5.7522000000000002</v>
      </c>
      <c r="Z24">
        <v>5.5457000000000001</v>
      </c>
      <c r="AA24">
        <v>5.1474000000000002</v>
      </c>
      <c r="AB24">
        <v>4.6650999999999998</v>
      </c>
      <c r="AC24">
        <v>4.1642000000000001</v>
      </c>
      <c r="AD24">
        <v>3.7174</v>
      </c>
      <c r="AE24">
        <v>3.2991000000000001</v>
      </c>
      <c r="AF24">
        <v>2.9403999999999999</v>
      </c>
      <c r="AG24">
        <v>2.6366999999999998</v>
      </c>
      <c r="AH24">
        <v>2.3645999999999998</v>
      </c>
      <c r="AI24">
        <v>2.1362999999999999</v>
      </c>
      <c r="AJ24">
        <v>1.9294</v>
      </c>
      <c r="AK24">
        <v>1.7523</v>
      </c>
      <c r="AL24">
        <v>1.5955999999999999</v>
      </c>
      <c r="AM24">
        <v>1.4554</v>
      </c>
      <c r="AN24">
        <v>1.3301000000000001</v>
      </c>
    </row>
    <row r="25" spans="1:40" x14ac:dyDescent="0.3">
      <c r="A25">
        <v>30</v>
      </c>
      <c r="B25">
        <v>20</v>
      </c>
      <c r="D25">
        <v>0</v>
      </c>
      <c r="E25" t="s">
        <v>14</v>
      </c>
      <c r="F25">
        <v>4.5789999999999997</v>
      </c>
      <c r="G25">
        <v>4.5617000000000001</v>
      </c>
      <c r="H25">
        <v>3.6307999999999998</v>
      </c>
      <c r="I25">
        <v>2.5095000000000001</v>
      </c>
      <c r="J25">
        <v>1.6507000000000001</v>
      </c>
      <c r="K25">
        <v>1.113</v>
      </c>
      <c r="L25">
        <v>0.80940000000000001</v>
      </c>
      <c r="M25">
        <v>0.61799999999999999</v>
      </c>
      <c r="N25">
        <v>0.51539999999999997</v>
      </c>
      <c r="O25">
        <v>0.48080000000000001</v>
      </c>
      <c r="P25">
        <v>0.50249999999999995</v>
      </c>
      <c r="Q25">
        <v>0.59830000000000005</v>
      </c>
      <c r="R25">
        <v>0.78800000000000003</v>
      </c>
      <c r="S25">
        <v>1.1002000000000001</v>
      </c>
      <c r="T25">
        <v>1.5764</v>
      </c>
      <c r="U25">
        <v>2.2422</v>
      </c>
      <c r="V25">
        <v>3.0701999999999998</v>
      </c>
      <c r="W25">
        <v>3.9525000000000001</v>
      </c>
      <c r="X25">
        <v>4.7480000000000002</v>
      </c>
      <c r="Y25">
        <v>5.2807000000000004</v>
      </c>
      <c r="Z25">
        <v>5.4553000000000003</v>
      </c>
      <c r="AA25">
        <v>5.3174999999999999</v>
      </c>
      <c r="AB25">
        <v>4.9842000000000004</v>
      </c>
      <c r="AC25">
        <v>4.5406000000000004</v>
      </c>
      <c r="AD25">
        <v>4.0891000000000002</v>
      </c>
      <c r="AE25">
        <v>3.6391</v>
      </c>
      <c r="AF25">
        <v>3.2458999999999998</v>
      </c>
      <c r="AG25">
        <v>2.9068000000000001</v>
      </c>
      <c r="AH25">
        <v>2.6004</v>
      </c>
      <c r="AI25">
        <v>2.3412000000000002</v>
      </c>
      <c r="AJ25">
        <v>2.1093999999999999</v>
      </c>
      <c r="AK25">
        <v>1.9152</v>
      </c>
      <c r="AL25">
        <v>1.736</v>
      </c>
      <c r="AM25">
        <v>1.5780000000000001</v>
      </c>
      <c r="AN25">
        <v>1.4383999999999999</v>
      </c>
    </row>
    <row r="26" spans="1:40" x14ac:dyDescent="0.3">
      <c r="A26">
        <v>25</v>
      </c>
      <c r="B26">
        <v>15</v>
      </c>
      <c r="D26">
        <v>0</v>
      </c>
      <c r="E26" t="s">
        <v>14</v>
      </c>
      <c r="F26">
        <v>3.9384999999999999</v>
      </c>
      <c r="G26">
        <v>4.6235999999999997</v>
      </c>
      <c r="H26">
        <v>4.2218</v>
      </c>
      <c r="I26">
        <v>3.1644999999999999</v>
      </c>
      <c r="J26">
        <v>2.1490999999999998</v>
      </c>
      <c r="K26">
        <v>1.4347000000000001</v>
      </c>
      <c r="L26">
        <v>1.0129999999999999</v>
      </c>
      <c r="M26">
        <v>0.73529999999999995</v>
      </c>
      <c r="N26">
        <v>0.56889999999999996</v>
      </c>
      <c r="O26">
        <v>0.48220000000000002</v>
      </c>
      <c r="P26">
        <v>0.45</v>
      </c>
      <c r="Q26">
        <v>0.47720000000000001</v>
      </c>
      <c r="R26">
        <v>0.57579999999999998</v>
      </c>
      <c r="S26">
        <v>0.76739999999999997</v>
      </c>
      <c r="T26">
        <v>1.0864</v>
      </c>
      <c r="U26">
        <v>1.5625</v>
      </c>
      <c r="V26">
        <v>2.2267999999999999</v>
      </c>
      <c r="W26">
        <v>3.0287999999999999</v>
      </c>
      <c r="X26">
        <v>3.8936999999999999</v>
      </c>
      <c r="Y26">
        <v>4.6451000000000002</v>
      </c>
      <c r="Z26">
        <v>5.1449999999999996</v>
      </c>
      <c r="AA26">
        <v>5.3152999999999997</v>
      </c>
      <c r="AB26">
        <v>5.1879</v>
      </c>
      <c r="AC26">
        <v>4.8635000000000002</v>
      </c>
      <c r="AD26">
        <v>4.4600999999999997</v>
      </c>
      <c r="AE26">
        <v>4.0076999999999998</v>
      </c>
      <c r="AF26">
        <v>3.5901000000000001</v>
      </c>
      <c r="AG26">
        <v>3.2151999999999998</v>
      </c>
      <c r="AH26">
        <v>2.8748999999999998</v>
      </c>
      <c r="AI26">
        <v>2.5867</v>
      </c>
      <c r="AJ26">
        <v>2.3252000000000002</v>
      </c>
      <c r="AK26">
        <v>2.1067</v>
      </c>
      <c r="AL26">
        <v>1.9073</v>
      </c>
      <c r="AM26">
        <v>1.7309000000000001</v>
      </c>
      <c r="AN26">
        <v>1.5741000000000001</v>
      </c>
    </row>
    <row r="27" spans="1:40" x14ac:dyDescent="0.3">
      <c r="A27">
        <v>20</v>
      </c>
      <c r="B27">
        <v>10</v>
      </c>
      <c r="D27">
        <v>0</v>
      </c>
      <c r="E27" t="s">
        <v>14</v>
      </c>
      <c r="F27">
        <v>3.2456</v>
      </c>
      <c r="G27">
        <v>4.2961999999999998</v>
      </c>
      <c r="H27">
        <v>4.4408000000000003</v>
      </c>
      <c r="I27">
        <v>3.6425999999999998</v>
      </c>
      <c r="J27">
        <v>2.5807000000000002</v>
      </c>
      <c r="K27">
        <v>1.7383</v>
      </c>
      <c r="L27">
        <v>1.2121</v>
      </c>
      <c r="M27">
        <v>0.85599999999999998</v>
      </c>
      <c r="N27">
        <v>0.64149999999999996</v>
      </c>
      <c r="O27">
        <v>0.51139999999999997</v>
      </c>
      <c r="P27">
        <v>0.44209999999999999</v>
      </c>
      <c r="Q27">
        <v>0.42720000000000002</v>
      </c>
      <c r="R27">
        <v>0.46989999999999998</v>
      </c>
      <c r="S27">
        <v>0.58589999999999998</v>
      </c>
      <c r="T27">
        <v>0.80169999999999997</v>
      </c>
      <c r="U27">
        <v>1.1526000000000001</v>
      </c>
      <c r="V27">
        <v>1.6685000000000001</v>
      </c>
      <c r="W27">
        <v>2.3481000000000001</v>
      </c>
      <c r="X27">
        <v>3.153</v>
      </c>
      <c r="Y27">
        <v>3.9780000000000002</v>
      </c>
      <c r="Z27">
        <v>4.6468999999999996</v>
      </c>
      <c r="AA27">
        <v>5.0534999999999997</v>
      </c>
      <c r="AB27">
        <v>5.1498999999999997</v>
      </c>
      <c r="AC27">
        <v>4.9676</v>
      </c>
      <c r="AD27">
        <v>4.6570999999999998</v>
      </c>
      <c r="AE27">
        <v>4.2412000000000001</v>
      </c>
      <c r="AF27">
        <v>3.8235999999999999</v>
      </c>
      <c r="AG27">
        <v>3.4361000000000002</v>
      </c>
      <c r="AH27">
        <v>3.0769000000000002</v>
      </c>
      <c r="AI27">
        <v>2.7679</v>
      </c>
      <c r="AJ27">
        <v>2.4866000000000001</v>
      </c>
      <c r="AK27">
        <v>2.2475000000000001</v>
      </c>
      <c r="AL27">
        <v>2.0352000000000001</v>
      </c>
      <c r="AM27">
        <v>1.8464</v>
      </c>
      <c r="AN27">
        <v>1.6767000000000001</v>
      </c>
    </row>
    <row r="28" spans="1:40" x14ac:dyDescent="0.3">
      <c r="A28">
        <v>15</v>
      </c>
      <c r="B28">
        <v>5</v>
      </c>
      <c r="D28">
        <v>0</v>
      </c>
      <c r="E28" t="s">
        <v>14</v>
      </c>
      <c r="F28">
        <v>2.7784</v>
      </c>
      <c r="G28">
        <v>3.9716</v>
      </c>
      <c r="H28">
        <v>4.5152000000000001</v>
      </c>
      <c r="I28">
        <v>4.0178000000000003</v>
      </c>
      <c r="J28">
        <v>2.9805000000000001</v>
      </c>
      <c r="K28">
        <v>2.0394000000000001</v>
      </c>
      <c r="L28">
        <v>1.4181999999999999</v>
      </c>
      <c r="M28">
        <v>0.98360000000000003</v>
      </c>
      <c r="N28">
        <v>0.72309999999999997</v>
      </c>
      <c r="O28">
        <v>0.56130000000000002</v>
      </c>
      <c r="P28">
        <v>0.46060000000000001</v>
      </c>
      <c r="Q28">
        <v>0.41710000000000003</v>
      </c>
      <c r="R28">
        <v>0.42770000000000002</v>
      </c>
      <c r="S28">
        <v>0.50270000000000004</v>
      </c>
      <c r="T28">
        <v>0.66049999999999998</v>
      </c>
      <c r="U28">
        <v>0.93930000000000002</v>
      </c>
      <c r="V28">
        <v>1.3636999999999999</v>
      </c>
      <c r="W28">
        <v>1.9495</v>
      </c>
      <c r="X28">
        <v>2.6920999999999999</v>
      </c>
      <c r="Y28">
        <v>3.5186000000000002</v>
      </c>
      <c r="Z28">
        <v>4.28</v>
      </c>
      <c r="AA28">
        <v>4.8398000000000003</v>
      </c>
      <c r="AB28">
        <v>5.1142000000000003</v>
      </c>
      <c r="AC28">
        <v>5.0701999999999998</v>
      </c>
      <c r="AD28">
        <v>4.8419999999999996</v>
      </c>
      <c r="AE28">
        <v>4.4668000000000001</v>
      </c>
      <c r="AF28">
        <v>4.0594999999999999</v>
      </c>
      <c r="AG28">
        <v>3.6638000000000002</v>
      </c>
      <c r="AH28">
        <v>3.2845</v>
      </c>
      <c r="AI28">
        <v>2.9575</v>
      </c>
      <c r="AJ28">
        <v>2.6555</v>
      </c>
      <c r="AK28">
        <v>2.3993000000000002</v>
      </c>
      <c r="AL28">
        <v>2.1697000000000002</v>
      </c>
      <c r="AM28">
        <v>1.9686999999999999</v>
      </c>
      <c r="AN28">
        <v>1.7833000000000001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8C48F-E2FE-4D07-8A8B-D106D2B6F5A3}">
  <sheetPr codeName="Sheet2"/>
  <dimension ref="A1:K12"/>
  <sheetViews>
    <sheetView tabSelected="1" workbookViewId="0">
      <selection activeCell="K15" sqref="K15"/>
    </sheetView>
  </sheetViews>
  <sheetFormatPr defaultRowHeight="14.4" x14ac:dyDescent="0.3"/>
  <cols>
    <col min="10" max="10" width="10.5546875" customWidth="1"/>
    <col min="11" max="11" width="11.6640625" customWidth="1"/>
  </cols>
  <sheetData>
    <row r="1" spans="1:11" x14ac:dyDescent="0.3">
      <c r="A1" s="7" t="s">
        <v>51</v>
      </c>
      <c r="B1" s="7"/>
      <c r="C1" s="7"/>
      <c r="D1" s="7"/>
      <c r="E1" s="7"/>
      <c r="F1" s="7"/>
      <c r="G1" s="7"/>
      <c r="H1" s="7"/>
      <c r="I1" s="7"/>
      <c r="J1" s="7"/>
    </row>
    <row r="2" spans="1:11" x14ac:dyDescent="0.3">
      <c r="A2" s="7" t="s">
        <v>52</v>
      </c>
      <c r="B2" s="7"/>
      <c r="C2" s="7"/>
      <c r="D2" s="7"/>
      <c r="E2" s="7"/>
      <c r="F2" s="7" t="s">
        <v>53</v>
      </c>
      <c r="G2" s="7"/>
      <c r="H2" s="7"/>
      <c r="I2" s="7"/>
      <c r="J2" s="7"/>
    </row>
    <row r="3" spans="1:11" x14ac:dyDescent="0.3">
      <c r="A3" s="1" t="s">
        <v>54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54</v>
      </c>
      <c r="G3" s="1" t="s">
        <v>55</v>
      </c>
      <c r="H3" s="1" t="s">
        <v>56</v>
      </c>
      <c r="I3" s="1" t="s">
        <v>57</v>
      </c>
      <c r="J3" s="1" t="s">
        <v>58</v>
      </c>
      <c r="K3" s="1" t="s">
        <v>59</v>
      </c>
    </row>
    <row r="4" spans="1:11" x14ac:dyDescent="0.3">
      <c r="A4" s="2">
        <v>55.47</v>
      </c>
      <c r="B4" s="2">
        <v>25.09</v>
      </c>
      <c r="C4" s="2">
        <v>61.14</v>
      </c>
      <c r="D4" s="3">
        <f>SQRT(B4^2+C4^2)</f>
        <v>66.0878786162788</v>
      </c>
      <c r="E4" s="3">
        <f>MOD(DEGREES(ATAN2(B4,C4)),360)</f>
        <v>67.688242032058838</v>
      </c>
      <c r="F4" s="2">
        <v>59.67</v>
      </c>
      <c r="G4" s="2">
        <v>30.83</v>
      </c>
      <c r="H4" s="2">
        <v>64.63</v>
      </c>
      <c r="I4" s="3">
        <f>SQRT(G4^2+H4^2)</f>
        <v>71.606744095790305</v>
      </c>
      <c r="J4" s="3">
        <f>MOD(DEGREES(ATAN2(G4,H4)),360)</f>
        <v>64.49778189416304</v>
      </c>
      <c r="K4" s="6">
        <v>10</v>
      </c>
    </row>
    <row r="5" spans="1:11" x14ac:dyDescent="0.3">
      <c r="A5" s="2">
        <v>51.89</v>
      </c>
      <c r="B5" s="2">
        <v>18.440000000000001</v>
      </c>
      <c r="C5" s="2">
        <v>58.06</v>
      </c>
      <c r="D5" s="3">
        <f t="shared" ref="D5:D12" si="0">SQRT(B5^2+C5^2)</f>
        <v>60.91795466034624</v>
      </c>
      <c r="E5" s="3">
        <f t="shared" ref="E5:E12" si="1">MOD(DEGREES(ATAN2(B5,C5)),360)</f>
        <v>72.380022874016802</v>
      </c>
      <c r="F5" s="2">
        <v>54.97</v>
      </c>
      <c r="G5" s="2">
        <v>24.74</v>
      </c>
      <c r="H5" s="2">
        <v>61.05</v>
      </c>
      <c r="I5" s="3">
        <f t="shared" ref="I5:I12" si="2">SQRT(G5^2+H5^2)</f>
        <v>65.87237736714836</v>
      </c>
      <c r="J5" s="3">
        <f t="shared" ref="J5:J12" si="3">MOD(DEGREES(ATAN2(G5,H5)),360)</f>
        <v>67.940161213756625</v>
      </c>
      <c r="K5" s="6">
        <v>15</v>
      </c>
    </row>
    <row r="6" spans="1:11" x14ac:dyDescent="0.3">
      <c r="A6" s="2">
        <v>48.11</v>
      </c>
      <c r="B6" s="2">
        <v>15.15</v>
      </c>
      <c r="C6" s="2">
        <v>54.09</v>
      </c>
      <c r="D6" s="3">
        <f t="shared" si="0"/>
        <v>56.171617388143638</v>
      </c>
      <c r="E6" s="3">
        <f t="shared" si="1"/>
        <v>74.353038810893821</v>
      </c>
      <c r="F6" s="2">
        <v>52.25</v>
      </c>
      <c r="G6" s="2">
        <v>16.86</v>
      </c>
      <c r="H6" s="2">
        <v>58.24</v>
      </c>
      <c r="I6" s="3">
        <f t="shared" si="2"/>
        <v>60.63132193841728</v>
      </c>
      <c r="J6" s="3">
        <f t="shared" si="3"/>
        <v>73.854705724723516</v>
      </c>
      <c r="K6" s="6">
        <v>20</v>
      </c>
    </row>
    <row r="7" spans="1:11" x14ac:dyDescent="0.3">
      <c r="A7" s="2">
        <v>46.26</v>
      </c>
      <c r="B7" s="2">
        <v>8.11</v>
      </c>
      <c r="C7" s="2">
        <v>52.15</v>
      </c>
      <c r="D7" s="3">
        <f t="shared" si="0"/>
        <v>52.776837722622226</v>
      </c>
      <c r="E7" s="3">
        <f t="shared" si="1"/>
        <v>81.160569267672471</v>
      </c>
      <c r="F7" s="2">
        <v>51.08</v>
      </c>
      <c r="G7" s="2">
        <v>7.79</v>
      </c>
      <c r="H7" s="2">
        <v>56.73</v>
      </c>
      <c r="I7" s="3">
        <f t="shared" si="2"/>
        <v>57.262352379202859</v>
      </c>
      <c r="J7" s="3">
        <f t="shared" si="3"/>
        <v>82.181207782954829</v>
      </c>
      <c r="K7" s="6">
        <v>25</v>
      </c>
    </row>
    <row r="8" spans="1:11" x14ac:dyDescent="0.3">
      <c r="A8" s="2">
        <v>43.42</v>
      </c>
      <c r="B8" s="2">
        <v>3.19</v>
      </c>
      <c r="C8" s="2">
        <v>49.82</v>
      </c>
      <c r="D8" s="3">
        <f t="shared" si="0"/>
        <v>49.922024197742623</v>
      </c>
      <c r="E8" s="3">
        <f t="shared" si="1"/>
        <v>86.336323474010797</v>
      </c>
      <c r="F8" s="2">
        <v>48.65</v>
      </c>
      <c r="G8" s="2">
        <v>0.93</v>
      </c>
      <c r="H8" s="2">
        <v>53.71</v>
      </c>
      <c r="I8" s="3">
        <f t="shared" si="2"/>
        <v>53.718050969855561</v>
      </c>
      <c r="J8" s="3">
        <f t="shared" si="3"/>
        <v>89.008010600336419</v>
      </c>
      <c r="K8" s="6">
        <v>30</v>
      </c>
    </row>
    <row r="9" spans="1:11" x14ac:dyDescent="0.3">
      <c r="A9" s="2">
        <v>42.2</v>
      </c>
      <c r="B9" s="2">
        <v>-4.21</v>
      </c>
      <c r="C9" s="2">
        <v>48</v>
      </c>
      <c r="D9" s="3">
        <f t="shared" si="0"/>
        <v>48.184272330294661</v>
      </c>
      <c r="E9" s="3">
        <f t="shared" si="1"/>
        <v>95.012490308458737</v>
      </c>
      <c r="F9" s="2">
        <v>48.09</v>
      </c>
      <c r="G9" s="2">
        <v>-9.4600000000000009</v>
      </c>
      <c r="H9" s="2">
        <v>52.76</v>
      </c>
      <c r="I9" s="3">
        <f t="shared" si="2"/>
        <v>53.60139177297544</v>
      </c>
      <c r="J9" s="3">
        <f t="shared" si="3"/>
        <v>100.165259510101</v>
      </c>
      <c r="K9" s="6">
        <v>35</v>
      </c>
    </row>
    <row r="10" spans="1:11" x14ac:dyDescent="0.3">
      <c r="A10" s="2">
        <v>41.53</v>
      </c>
      <c r="B10" s="2">
        <v>-9.6999999999999993</v>
      </c>
      <c r="C10" s="2">
        <v>47.32</v>
      </c>
      <c r="D10" s="3">
        <f t="shared" si="0"/>
        <v>48.303958429925807</v>
      </c>
      <c r="E10" s="3">
        <f t="shared" si="1"/>
        <v>101.5844290333423</v>
      </c>
      <c r="F10" s="2">
        <v>46.42</v>
      </c>
      <c r="G10" s="2">
        <v>-14.06</v>
      </c>
      <c r="H10" s="2">
        <v>51.03</v>
      </c>
      <c r="I10" s="3">
        <f t="shared" si="2"/>
        <v>52.931507630144068</v>
      </c>
      <c r="J10" s="3">
        <f t="shared" si="3"/>
        <v>105.40417036900085</v>
      </c>
      <c r="K10" s="6">
        <v>40</v>
      </c>
    </row>
    <row r="11" spans="1:11" x14ac:dyDescent="0.3">
      <c r="A11" s="2">
        <v>39.21</v>
      </c>
      <c r="B11" s="2">
        <v>-13.26</v>
      </c>
      <c r="C11" s="2">
        <v>44.82</v>
      </c>
      <c r="D11" s="3">
        <f t="shared" si="0"/>
        <v>46.740346596917739</v>
      </c>
      <c r="E11" s="3">
        <f t="shared" si="1"/>
        <v>106.48085488648738</v>
      </c>
      <c r="F11" s="2">
        <v>44.59</v>
      </c>
      <c r="G11" s="2">
        <v>-19.95</v>
      </c>
      <c r="H11" s="2">
        <v>48.87</v>
      </c>
      <c r="I11" s="3">
        <f t="shared" si="2"/>
        <v>52.785219522135172</v>
      </c>
      <c r="J11" s="3">
        <f t="shared" si="3"/>
        <v>112.20655494765957</v>
      </c>
      <c r="K11" s="6">
        <v>45</v>
      </c>
    </row>
    <row r="12" spans="1:11" x14ac:dyDescent="0.3">
      <c r="A12" s="4">
        <v>40.35</v>
      </c>
      <c r="B12" s="4">
        <v>-16.010000000000002</v>
      </c>
      <c r="C12" s="4">
        <v>42.44</v>
      </c>
      <c r="D12" s="5">
        <f t="shared" si="0"/>
        <v>45.359383814156914</v>
      </c>
      <c r="E12" s="5">
        <f t="shared" si="1"/>
        <v>110.66840423547943</v>
      </c>
      <c r="F12" s="4">
        <v>44.36</v>
      </c>
      <c r="G12" s="4">
        <v>-23.81</v>
      </c>
      <c r="H12" s="4">
        <v>46.65</v>
      </c>
      <c r="I12" s="5">
        <f t="shared" si="2"/>
        <v>52.374980668254189</v>
      </c>
      <c r="J12" s="5">
        <f t="shared" si="3"/>
        <v>117.03961043956247</v>
      </c>
      <c r="K12" s="6">
        <v>50</v>
      </c>
    </row>
  </sheetData>
  <mergeCells count="3">
    <mergeCell ref="A1:J1"/>
    <mergeCell ref="A2:E2"/>
    <mergeCell ref="F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>JDSU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DK1SNK1</dc:creator>
  <cp:lastModifiedBy>Jacob Nichols</cp:lastModifiedBy>
  <dcterms:created xsi:type="dcterms:W3CDTF">2020-02-28T18:40:17Z</dcterms:created>
  <dcterms:modified xsi:type="dcterms:W3CDTF">2020-03-05T22:15:21Z</dcterms:modified>
</cp:coreProperties>
</file>